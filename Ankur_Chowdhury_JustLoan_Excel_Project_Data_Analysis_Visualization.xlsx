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nkurChowdhury\Downloads\JustLoan Project\"/>
    </mc:Choice>
  </mc:AlternateContent>
  <xr:revisionPtr revIDLastSave="0" documentId="13_ncr:1_{D465E1C7-6877-4356-AEB0-3FEF1DE96099}" xr6:coauthVersionLast="47" xr6:coauthVersionMax="47" xr10:uidLastSave="{00000000-0000-0000-0000-000000000000}"/>
  <bookViews>
    <workbookView xWindow="-110" yWindow="-110" windowWidth="19420" windowHeight="10300" tabRatio="912" activeTab="1" xr2:uid="{2ADB3FC9-5C44-7544-AE06-FB46E910F67D}"/>
  </bookViews>
  <sheets>
    <sheet name="Raw Data" sheetId="1" r:id="rId1"/>
    <sheet name="Dashboard" sheetId="11" r:id="rId2"/>
    <sheet name="Total Loan Amount" sheetId="2" r:id="rId3"/>
    <sheet name="Sum of Loan amount by Dept" sheetId="5" r:id="rId4"/>
    <sheet name="Avg of Credit Score" sheetId="6" r:id="rId5"/>
    <sheet name="Avg of Default Rate" sheetId="7" r:id="rId6"/>
    <sheet name="Loan &amp; Cx count trend" sheetId="8" r:id="rId7"/>
  </sheets>
  <definedNames>
    <definedName name="_xlnm._FilterDatabase" localSheetId="0" hidden="1">'Raw Data'!$A$1:$I$1096</definedName>
    <definedName name="Ju">Table2[]</definedName>
    <definedName name="JustLoan">Table2[]</definedName>
    <definedName name="Slicer_Department___Designation">#N/A</definedName>
    <definedName name="Slicer_Loan_Type1">#N/A</definedName>
    <definedName name="Slicer_Months__Loan_Application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0" i="8" l="1"/>
  <c r="K23" i="7"/>
  <c r="G17" i="6"/>
  <c r="E3" i="2"/>
</calcChain>
</file>

<file path=xl/sharedStrings.xml><?xml version="1.0" encoding="utf-8"?>
<sst xmlns="http://schemas.openxmlformats.org/spreadsheetml/2006/main" count="2314" uniqueCount="63">
  <si>
    <t>Loan Application Date</t>
  </si>
  <si>
    <t>CustomerID</t>
  </si>
  <si>
    <t>Department - Designation</t>
  </si>
  <si>
    <t>Credit Score</t>
  </si>
  <si>
    <t>Past Loans</t>
  </si>
  <si>
    <t>Emi Defaults</t>
  </si>
  <si>
    <t>Date of Birth</t>
  </si>
  <si>
    <t>New Loan Application amount</t>
  </si>
  <si>
    <t>Loan Type</t>
  </si>
  <si>
    <t>Marketing - Director</t>
  </si>
  <si>
    <t>Education</t>
  </si>
  <si>
    <t>Operation - Executive</t>
  </si>
  <si>
    <t>Marketing - Executive</t>
  </si>
  <si>
    <t>Growth - Manager</t>
  </si>
  <si>
    <t>Personal</t>
  </si>
  <si>
    <t>Marketing - Manager</t>
  </si>
  <si>
    <t>Operation - Manager</t>
  </si>
  <si>
    <t>Car</t>
  </si>
  <si>
    <t>Strategy - Executive</t>
  </si>
  <si>
    <t>Marketing - Intern</t>
  </si>
  <si>
    <t>Strategy - Intern</t>
  </si>
  <si>
    <t>Sales - Manager</t>
  </si>
  <si>
    <t>Strategy - Manager</t>
  </si>
  <si>
    <t>Operation - Intern</t>
  </si>
  <si>
    <t>Growth - Director</t>
  </si>
  <si>
    <t>Sales - Director</t>
  </si>
  <si>
    <t>Operation - Director</t>
  </si>
  <si>
    <t>Finance - Intern</t>
  </si>
  <si>
    <t>Finance - Executive</t>
  </si>
  <si>
    <t>Sales - Executive</t>
  </si>
  <si>
    <t>Finance - Director</t>
  </si>
  <si>
    <t>Growth - Intern</t>
  </si>
  <si>
    <t>Sales - Intern</t>
  </si>
  <si>
    <t>Strategy - Director</t>
  </si>
  <si>
    <t>Finance - Manager</t>
  </si>
  <si>
    <t>Growth - Executive</t>
  </si>
  <si>
    <t>Row Labels</t>
  </si>
  <si>
    <t>Grand Total</t>
  </si>
  <si>
    <t>Sum of New Loan Application amount</t>
  </si>
  <si>
    <t>Column Labels</t>
  </si>
  <si>
    <t>Average of Credit Score</t>
  </si>
  <si>
    <t>Sum of Past Loans</t>
  </si>
  <si>
    <t>Sum of Emi Defaults</t>
  </si>
  <si>
    <t>Sum of Default Rate</t>
  </si>
  <si>
    <t>Jan</t>
  </si>
  <si>
    <t>Feb</t>
  </si>
  <si>
    <t>Mar</t>
  </si>
  <si>
    <t>Apr</t>
  </si>
  <si>
    <t>May</t>
  </si>
  <si>
    <t>Jun</t>
  </si>
  <si>
    <t>Jul</t>
  </si>
  <si>
    <t>Aug</t>
  </si>
  <si>
    <t>Sep</t>
  </si>
  <si>
    <t>Oct</t>
  </si>
  <si>
    <t>Nov</t>
  </si>
  <si>
    <t>Dec</t>
  </si>
  <si>
    <t>2020</t>
  </si>
  <si>
    <t>Sum of CustomerID</t>
  </si>
  <si>
    <t>Total Loan Amount</t>
  </si>
  <si>
    <t>Average Credit Score</t>
  </si>
  <si>
    <t>Average of Default Rates</t>
  </si>
  <si>
    <t>Total Customer Count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</si>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</sst>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
    <numFmt numFmtId="166" formatCode="[&gt;=1000000]0.0,,&quot;M&quot;;[&gt;=1000]0,&quot;K&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vertical="center"/>
    </xf>
    <xf numFmtId="0" fontId="1" fillId="0" borderId="0" xfId="0" applyFont="1" applyAlignment="1">
      <alignment horizontal="center" vertical="center"/>
    </xf>
    <xf numFmtId="166" fontId="0" fillId="0" borderId="0" xfId="0" applyNumberFormat="1" applyAlignment="1">
      <alignment horizontal="center" vertical="center"/>
    </xf>
    <xf numFmtId="2" fontId="1" fillId="0" borderId="0" xfId="0" applyNumberFormat="1" applyFont="1" applyAlignment="1">
      <alignment horizontal="center" vertical="center"/>
    </xf>
    <xf numFmtId="10" fontId="1" fillId="0" borderId="0" xfId="0" applyNumberFormat="1" applyFont="1"/>
    <xf numFmtId="0" fontId="0" fillId="0" borderId="0" xfId="0" pivotButton="1" applyAlignment="1">
      <alignment horizontal="center" vertical="center"/>
    </xf>
    <xf numFmtId="165" fontId="0" fillId="0" borderId="0" xfId="0" applyNumberFormat="1" applyAlignment="1">
      <alignment horizontal="center" vertical="center"/>
    </xf>
    <xf numFmtId="0" fontId="1" fillId="2" borderId="0" xfId="0" applyFont="1" applyFill="1" applyAlignment="1">
      <alignment horizontal="center" vertical="center"/>
    </xf>
    <xf numFmtId="166" fontId="1" fillId="2" borderId="0" xfId="0" applyNumberFormat="1" applyFont="1" applyFill="1" applyAlignment="1">
      <alignment horizontal="center" vertical="center"/>
    </xf>
    <xf numFmtId="14" fontId="0" fillId="0" borderId="0" xfId="0" applyNumberFormat="1" applyAlignment="1">
      <alignment horizontal="center" vertical="center"/>
    </xf>
  </cellXfs>
  <cellStyles count="1">
    <cellStyle name="Normal" xfId="0" builtinId="0"/>
  </cellStyles>
  <dxfs count="41">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[Ankur_Chowdhury_JustLoan_Excel_Project_Data_Analysis.xlsx]Total Loan Amount!PivotTable1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Loan</a:t>
            </a:r>
            <a:r>
              <a:rPr lang="en-IN" b="1" baseline="0"/>
              <a:t> Amount by Loan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FFC000"/>
          </a:solidFill>
          <a:ln>
            <a:noFill/>
          </a:ln>
          <a:effectLst/>
        </c:spPr>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2060"/>
          </a:solidFill>
          <a:ln>
            <a:noFill/>
          </a:ln>
          <a:effectLst/>
        </c:spPr>
      </c:pivotFmt>
      <c:pivotFmt>
        <c:idx val="27"/>
        <c:spPr>
          <a:solidFill>
            <a:srgbClr val="FFC000"/>
          </a:solidFill>
          <a:ln>
            <a:noFill/>
          </a:ln>
          <a:effectLst/>
        </c:spPr>
      </c:pivotFmt>
      <c:pivotFmt>
        <c:idx val="28"/>
        <c:spPr>
          <a:solidFill>
            <a:schemeClr val="accent1"/>
          </a:solidFill>
          <a:ln>
            <a:noFill/>
          </a:ln>
          <a:effectLst/>
        </c:spPr>
      </c:pivotFmt>
      <c:pivotFmt>
        <c:idx val="29"/>
        <c:spPr>
          <a:solidFill>
            <a:schemeClr val="accent2"/>
          </a:solidFill>
          <a:ln>
            <a:noFill/>
          </a:ln>
          <a:effectLst/>
        </c:spPr>
      </c:pivotFmt>
      <c:pivotFmt>
        <c:idx val="30"/>
        <c:spPr>
          <a:solidFill>
            <a:schemeClr val="accent3"/>
          </a:solidFill>
          <a:ln>
            <a:noFill/>
          </a:ln>
          <a:effectLst/>
        </c:spPr>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3"/>
          </a:solidFill>
          <a:ln>
            <a:noFill/>
          </a:ln>
          <a:effectLst/>
        </c:spPr>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pivotFmt>
      <c:pivotFmt>
        <c:idx val="36"/>
        <c:spPr>
          <a:solidFill>
            <a:schemeClr val="accent3"/>
          </a:solidFill>
          <a:ln>
            <a:noFill/>
          </a:ln>
          <a:effectLst/>
        </c:spPr>
      </c:pivotFmt>
    </c:pivotFmts>
    <c:plotArea>
      <c:layout/>
      <c:barChart>
        <c:barDir val="col"/>
        <c:grouping val="clustered"/>
        <c:varyColors val="0"/>
        <c:ser>
          <c:idx val="0"/>
          <c:order val="0"/>
          <c:tx>
            <c:strRef>
              <c:f>'Total Loan Amount'!$B$3</c:f>
              <c:strCache>
                <c:ptCount val="1"/>
                <c:pt idx="0">
                  <c:v>Total</c:v>
                </c:pt>
              </c:strCache>
            </c:strRef>
          </c:tx>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8AB-4BFD-B635-62F444577D4E}"/>
              </c:ext>
            </c:extLst>
          </c:dPt>
          <c:dPt>
            <c:idx val="1"/>
            <c:invertIfNegative val="0"/>
            <c:bubble3D val="0"/>
            <c:extLst>
              <c:ext xmlns:c16="http://schemas.microsoft.com/office/drawing/2014/chart" uri="{C3380CC4-5D6E-409C-BE32-E72D297353CC}">
                <c16:uniqueId val="{00000002-88AB-4BFD-B635-62F444577D4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88AB-4BFD-B635-62F444577D4E}"/>
              </c:ext>
            </c:extLst>
          </c:dPt>
          <c:cat>
            <c:strRef>
              <c:f>'Total Loan Amount'!$A$4:$A$7</c:f>
              <c:strCache>
                <c:ptCount val="3"/>
                <c:pt idx="0">
                  <c:v>Car</c:v>
                </c:pt>
                <c:pt idx="1">
                  <c:v>Education</c:v>
                </c:pt>
                <c:pt idx="2">
                  <c:v>Personal</c:v>
                </c:pt>
              </c:strCache>
            </c:strRef>
          </c:cat>
          <c:val>
            <c:numRef>
              <c:f>'Total Loan Amount'!$B$4:$B$7</c:f>
              <c:numCache>
                <c:formatCode>[&gt;=1000000]0.0,,"M";[&gt;=1000]0,"K";0</c:formatCode>
                <c:ptCount val="3"/>
                <c:pt idx="0">
                  <c:v>271362116</c:v>
                </c:pt>
                <c:pt idx="1">
                  <c:v>271248158</c:v>
                </c:pt>
                <c:pt idx="2">
                  <c:v>279897271</c:v>
                </c:pt>
              </c:numCache>
            </c:numRef>
          </c:val>
          <c:extLst>
            <c:ext xmlns:c16="http://schemas.microsoft.com/office/drawing/2014/chart" uri="{C3380CC4-5D6E-409C-BE32-E72D297353CC}">
              <c16:uniqueId val="{00000005-88AB-4BFD-B635-62F444577D4E}"/>
            </c:ext>
          </c:extLst>
        </c:ser>
        <c:dLbls>
          <c:showLegendKey val="0"/>
          <c:showVal val="0"/>
          <c:showCatName val="0"/>
          <c:showSerName val="0"/>
          <c:showPercent val="0"/>
          <c:showBubbleSize val="0"/>
        </c:dLbls>
        <c:gapWidth val="219"/>
        <c:overlap val="-27"/>
        <c:axId val="1979888816"/>
        <c:axId val="1989201488"/>
      </c:barChart>
      <c:catAx>
        <c:axId val="197988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01488"/>
        <c:crosses val="autoZero"/>
        <c:auto val="1"/>
        <c:lblAlgn val="ctr"/>
        <c:lblOffset val="100"/>
        <c:noMultiLvlLbl val="0"/>
      </c:catAx>
      <c:valAx>
        <c:axId val="198920148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988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[Ankur_Chowdhury_JustLoan_Excel_Project_Data_Analysis.xlsx]Total Loan Amount!PivotTable1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Total Loan Amount by Loan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3"/>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Loan Amount'!$B$3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2DB-415A-B3B1-D5F6E9392FA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2DB-415A-B3B1-D5F6E9392FA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2DB-415A-B3B1-D5F6E9392FAA}"/>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Loan Amount'!$A$4:$A$7</c:f>
              <c:strCache>
                <c:ptCount val="3"/>
                <c:pt idx="0">
                  <c:v>Car</c:v>
                </c:pt>
                <c:pt idx="1">
                  <c:v>Education</c:v>
                </c:pt>
                <c:pt idx="2">
                  <c:v>Personal</c:v>
                </c:pt>
              </c:strCache>
            </c:strRef>
          </c:cat>
          <c:val>
            <c:numRef>
              <c:f>'Total Loan Amount'!$B$4:$B$7</c:f>
              <c:numCache>
                <c:formatCode>[&gt;=1000000]0.0,,"M";[&gt;=1000]0,"K";0</c:formatCode>
                <c:ptCount val="3"/>
                <c:pt idx="0">
                  <c:v>271362116</c:v>
                </c:pt>
                <c:pt idx="1">
                  <c:v>271248158</c:v>
                </c:pt>
                <c:pt idx="2">
                  <c:v>279897271</c:v>
                </c:pt>
              </c:numCache>
            </c:numRef>
          </c:val>
          <c:extLst>
            <c:ext xmlns:c16="http://schemas.microsoft.com/office/drawing/2014/chart" uri="{C3380CC4-5D6E-409C-BE32-E72D297353CC}">
              <c16:uniqueId val="{00000006-C2DB-415A-B3B1-D5F6E9392FA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[Ankur_Chowdhury_JustLoan_Excel_Project_Data_Analysis.xlsx]Avg of Default Rate!PivotTable1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Default Rate'!$B$3</c:f>
              <c:strCache>
                <c:ptCount val="1"/>
                <c:pt idx="0">
                  <c:v>Sum of Past Loans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Rate'!$B$4:$B$28</c:f>
              <c:numCache>
                <c:formatCode>General</c:formatCode>
                <c:ptCount val="24"/>
                <c:pt idx="0">
                  <c:v>142</c:v>
                </c:pt>
                <c:pt idx="1">
                  <c:v>156</c:v>
                </c:pt>
                <c:pt idx="2">
                  <c:v>106</c:v>
                </c:pt>
                <c:pt idx="3">
                  <c:v>146</c:v>
                </c:pt>
                <c:pt idx="4">
                  <c:v>182</c:v>
                </c:pt>
                <c:pt idx="5">
                  <c:v>111</c:v>
                </c:pt>
                <c:pt idx="6">
                  <c:v>155</c:v>
                </c:pt>
                <c:pt idx="7">
                  <c:v>141</c:v>
                </c:pt>
                <c:pt idx="8">
                  <c:v>153</c:v>
                </c:pt>
                <c:pt idx="9">
                  <c:v>157</c:v>
                </c:pt>
                <c:pt idx="10">
                  <c:v>134</c:v>
                </c:pt>
                <c:pt idx="11">
                  <c:v>135</c:v>
                </c:pt>
                <c:pt idx="12">
                  <c:v>133</c:v>
                </c:pt>
                <c:pt idx="13">
                  <c:v>137</c:v>
                </c:pt>
                <c:pt idx="14">
                  <c:v>122</c:v>
                </c:pt>
                <c:pt idx="15">
                  <c:v>155</c:v>
                </c:pt>
                <c:pt idx="16">
                  <c:v>120</c:v>
                </c:pt>
                <c:pt idx="17">
                  <c:v>134</c:v>
                </c:pt>
                <c:pt idx="18">
                  <c:v>113</c:v>
                </c:pt>
                <c:pt idx="19">
                  <c:v>131</c:v>
                </c:pt>
                <c:pt idx="20">
                  <c:v>110</c:v>
                </c:pt>
                <c:pt idx="21">
                  <c:v>135</c:v>
                </c:pt>
                <c:pt idx="22">
                  <c:v>129</c:v>
                </c:pt>
                <c:pt idx="23">
                  <c:v>140</c:v>
                </c:pt>
              </c:numCache>
            </c:numRef>
          </c:val>
          <c:extLst>
            <c:ext xmlns:c16="http://schemas.microsoft.com/office/drawing/2014/chart" uri="{C3380CC4-5D6E-409C-BE32-E72D297353CC}">
              <c16:uniqueId val="{00000000-E5B5-454C-9E0D-96B07F81119A}"/>
            </c:ext>
          </c:extLst>
        </c:ser>
        <c:ser>
          <c:idx val="1"/>
          <c:order val="1"/>
          <c:tx>
            <c:strRef>
              <c:f>'Avg of Default Rate'!$C$3</c:f>
              <c:strCache>
                <c:ptCount val="1"/>
                <c:pt idx="0">
                  <c:v>Sum of Emi Defaults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Rate'!$C$4:$C$28</c:f>
              <c:numCache>
                <c:formatCode>General</c:formatCode>
                <c:ptCount val="24"/>
                <c:pt idx="0">
                  <c:v>284</c:v>
                </c:pt>
                <c:pt idx="1">
                  <c:v>254</c:v>
                </c:pt>
                <c:pt idx="2">
                  <c:v>204</c:v>
                </c:pt>
                <c:pt idx="3">
                  <c:v>247</c:v>
                </c:pt>
                <c:pt idx="4">
                  <c:v>338</c:v>
                </c:pt>
                <c:pt idx="5">
                  <c:v>175</c:v>
                </c:pt>
                <c:pt idx="6">
                  <c:v>267</c:v>
                </c:pt>
                <c:pt idx="7">
                  <c:v>250</c:v>
                </c:pt>
                <c:pt idx="8">
                  <c:v>287</c:v>
                </c:pt>
                <c:pt idx="9">
                  <c:v>312</c:v>
                </c:pt>
                <c:pt idx="10">
                  <c:v>202</c:v>
                </c:pt>
                <c:pt idx="11">
                  <c:v>259</c:v>
                </c:pt>
                <c:pt idx="12">
                  <c:v>215</c:v>
                </c:pt>
                <c:pt idx="13">
                  <c:v>238</c:v>
                </c:pt>
                <c:pt idx="14">
                  <c:v>184</c:v>
                </c:pt>
                <c:pt idx="15">
                  <c:v>242</c:v>
                </c:pt>
                <c:pt idx="16">
                  <c:v>226</c:v>
                </c:pt>
                <c:pt idx="17">
                  <c:v>227</c:v>
                </c:pt>
                <c:pt idx="18">
                  <c:v>231</c:v>
                </c:pt>
                <c:pt idx="19">
                  <c:v>272</c:v>
                </c:pt>
                <c:pt idx="20">
                  <c:v>204</c:v>
                </c:pt>
                <c:pt idx="21">
                  <c:v>249</c:v>
                </c:pt>
                <c:pt idx="22">
                  <c:v>197</c:v>
                </c:pt>
                <c:pt idx="23">
                  <c:v>257</c:v>
                </c:pt>
              </c:numCache>
            </c:numRef>
          </c:val>
          <c:extLst>
            <c:ext xmlns:c16="http://schemas.microsoft.com/office/drawing/2014/chart" uri="{C3380CC4-5D6E-409C-BE32-E72D297353CC}">
              <c16:uniqueId val="{00000001-E5B5-454C-9E0D-96B07F81119A}"/>
            </c:ext>
          </c:extLst>
        </c:ser>
        <c:dLbls>
          <c:showLegendKey val="0"/>
          <c:showVal val="0"/>
          <c:showCatName val="0"/>
          <c:showSerName val="0"/>
          <c:showPercent val="0"/>
          <c:showBubbleSize val="0"/>
        </c:dLbls>
        <c:gapWidth val="219"/>
        <c:overlap val="-27"/>
        <c:axId val="1307880608"/>
        <c:axId val="1307881088"/>
      </c:barChart>
      <c:lineChart>
        <c:grouping val="standard"/>
        <c:varyColors val="0"/>
        <c:ser>
          <c:idx val="2"/>
          <c:order val="2"/>
          <c:tx>
            <c:strRef>
              <c:f>'Avg of Default Rate'!$D$3</c:f>
              <c:strCache>
                <c:ptCount val="1"/>
                <c:pt idx="0">
                  <c:v>Sum of Default 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Rate'!$D$4:$D$28</c:f>
              <c:numCache>
                <c:formatCode>0.0%</c:formatCode>
                <c:ptCount val="24"/>
                <c:pt idx="0">
                  <c:v>2</c:v>
                </c:pt>
                <c:pt idx="1">
                  <c:v>1.6282051282051282</c:v>
                </c:pt>
                <c:pt idx="2">
                  <c:v>1.9245283018867925</c:v>
                </c:pt>
                <c:pt idx="3">
                  <c:v>1.6917808219178083</c:v>
                </c:pt>
                <c:pt idx="4">
                  <c:v>1.8571428571428572</c:v>
                </c:pt>
                <c:pt idx="5">
                  <c:v>1.5765765765765767</c:v>
                </c:pt>
                <c:pt idx="6">
                  <c:v>1.7225806451612904</c:v>
                </c:pt>
                <c:pt idx="7">
                  <c:v>1.7730496453900708</c:v>
                </c:pt>
                <c:pt idx="8">
                  <c:v>1.8758169934640523</c:v>
                </c:pt>
                <c:pt idx="9">
                  <c:v>1.9872611464968153</c:v>
                </c:pt>
                <c:pt idx="10">
                  <c:v>1.5074626865671641</c:v>
                </c:pt>
                <c:pt idx="11">
                  <c:v>1.9185185185185185</c:v>
                </c:pt>
                <c:pt idx="12">
                  <c:v>1.6165413533834587</c:v>
                </c:pt>
                <c:pt idx="13">
                  <c:v>1.7372262773722629</c:v>
                </c:pt>
                <c:pt idx="14">
                  <c:v>1.5081967213114753</c:v>
                </c:pt>
                <c:pt idx="15">
                  <c:v>1.5612903225806452</c:v>
                </c:pt>
                <c:pt idx="16">
                  <c:v>1.8833333333333333</c:v>
                </c:pt>
                <c:pt idx="17">
                  <c:v>1.6940298507462686</c:v>
                </c:pt>
                <c:pt idx="18">
                  <c:v>2.0442477876106193</c:v>
                </c:pt>
                <c:pt idx="19">
                  <c:v>2.0763358778625953</c:v>
                </c:pt>
                <c:pt idx="20">
                  <c:v>1.8545454545454545</c:v>
                </c:pt>
                <c:pt idx="21">
                  <c:v>1.8444444444444446</c:v>
                </c:pt>
                <c:pt idx="22">
                  <c:v>1.5271317829457365</c:v>
                </c:pt>
                <c:pt idx="23">
                  <c:v>1.8357142857142856</c:v>
                </c:pt>
              </c:numCache>
            </c:numRef>
          </c:val>
          <c:smooth val="0"/>
          <c:extLst>
            <c:ext xmlns:c16="http://schemas.microsoft.com/office/drawing/2014/chart" uri="{C3380CC4-5D6E-409C-BE32-E72D297353CC}">
              <c16:uniqueId val="{00000002-E5B5-454C-9E0D-96B07F81119A}"/>
            </c:ext>
          </c:extLst>
        </c:ser>
        <c:dLbls>
          <c:showLegendKey val="0"/>
          <c:showVal val="0"/>
          <c:showCatName val="0"/>
          <c:showSerName val="0"/>
          <c:showPercent val="0"/>
          <c:showBubbleSize val="0"/>
        </c:dLbls>
        <c:marker val="1"/>
        <c:smooth val="0"/>
        <c:axId val="1366703328"/>
        <c:axId val="1366705248"/>
      </c:lineChart>
      <c:catAx>
        <c:axId val="130788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81088"/>
        <c:crosses val="autoZero"/>
        <c:auto val="1"/>
        <c:lblAlgn val="ctr"/>
        <c:lblOffset val="100"/>
        <c:noMultiLvlLbl val="0"/>
      </c:catAx>
      <c:valAx>
        <c:axId val="130788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80608"/>
        <c:crosses val="autoZero"/>
        <c:crossBetween val="between"/>
      </c:valAx>
      <c:valAx>
        <c:axId val="1366705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703328"/>
        <c:crosses val="max"/>
        <c:crossBetween val="between"/>
      </c:valAx>
      <c:catAx>
        <c:axId val="1366703328"/>
        <c:scaling>
          <c:orientation val="minMax"/>
        </c:scaling>
        <c:delete val="1"/>
        <c:axPos val="b"/>
        <c:numFmt formatCode="General" sourceLinked="1"/>
        <c:majorTickMark val="none"/>
        <c:minorTickMark val="none"/>
        <c:tickLblPos val="nextTo"/>
        <c:crossAx val="1366705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[Ankur_Chowdhury_JustLoan_Excel_Project_Data_Analysis.xlsx]Loan &amp; Cx count trend!PivotTable2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Loan Applications and Customer Count Trend - 2020</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'Loan &amp; Cx count trend'!$C$3</c:f>
              <c:strCache>
                <c:ptCount val="1"/>
                <c:pt idx="0">
                  <c:v>Sum of New Loan Application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'Loan &amp; Cx count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'Loan &amp; Cx count trend'!$C$4:$C$17</c:f>
              <c:numCache>
                <c:formatCode>General</c:formatCode>
                <c:ptCount val="12"/>
                <c:pt idx="0">
                  <c:v>77337543</c:v>
                </c:pt>
                <c:pt idx="1">
                  <c:v>75393920</c:v>
                </c:pt>
                <c:pt idx="2">
                  <c:v>81949442</c:v>
                </c:pt>
                <c:pt idx="3">
                  <c:v>71475896</c:v>
                </c:pt>
                <c:pt idx="4">
                  <c:v>84087828</c:v>
                </c:pt>
                <c:pt idx="5">
                  <c:v>74287048</c:v>
                </c:pt>
                <c:pt idx="6">
                  <c:v>69827375</c:v>
                </c:pt>
                <c:pt idx="7">
                  <c:v>62308924</c:v>
                </c:pt>
                <c:pt idx="8">
                  <c:v>76800146</c:v>
                </c:pt>
                <c:pt idx="9">
                  <c:v>65564078</c:v>
                </c:pt>
                <c:pt idx="10">
                  <c:v>65337978</c:v>
                </c:pt>
                <c:pt idx="11">
                  <c:v>18137367</c:v>
                </c:pt>
              </c:numCache>
            </c:numRef>
          </c:val>
          <c:smooth val="0"/>
          <c:extLst>
            <c:ext xmlns:c16="http://schemas.microsoft.com/office/drawing/2014/chart" uri="{C3380CC4-5D6E-409C-BE32-E72D297353CC}">
              <c16:uniqueId val="{00000000-AD29-480E-8E72-FDCACEC0F701}"/>
            </c:ext>
          </c:extLst>
        </c:ser>
        <c:dLbls>
          <c:showLegendKey val="0"/>
          <c:showVal val="0"/>
          <c:showCatName val="0"/>
          <c:showSerName val="0"/>
          <c:showPercent val="0"/>
          <c:showBubbleSize val="0"/>
        </c:dLbls>
        <c:marker val="1"/>
        <c:smooth val="0"/>
        <c:axId val="963403520"/>
        <c:axId val="963401120"/>
      </c:lineChart>
      <c:lineChart>
        <c:grouping val="standard"/>
        <c:varyColors val="0"/>
        <c:ser>
          <c:idx val="0"/>
          <c:order val="0"/>
          <c:tx>
            <c:strRef>
              <c:f>'Loan &amp; Cx count trend'!$B$3</c:f>
              <c:strCache>
                <c:ptCount val="1"/>
                <c:pt idx="0">
                  <c:v>Sum of CustomerID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'Loan &amp; Cx count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'Loan &amp; Cx count trend'!$B$4:$B$17</c:f>
              <c:numCache>
                <c:formatCode>General</c:formatCode>
                <c:ptCount val="12"/>
                <c:pt idx="0">
                  <c:v>5894833</c:v>
                </c:pt>
                <c:pt idx="1">
                  <c:v>5720035</c:v>
                </c:pt>
                <c:pt idx="2">
                  <c:v>6223202</c:v>
                </c:pt>
                <c:pt idx="3">
                  <c:v>4953296</c:v>
                </c:pt>
                <c:pt idx="4">
                  <c:v>6508624</c:v>
                </c:pt>
                <c:pt idx="5">
                  <c:v>4977179</c:v>
                </c:pt>
                <c:pt idx="6">
                  <c:v>4842125</c:v>
                </c:pt>
                <c:pt idx="7">
                  <c:v>4576865</c:v>
                </c:pt>
                <c:pt idx="8">
                  <c:v>5972519</c:v>
                </c:pt>
                <c:pt idx="9">
                  <c:v>5078755</c:v>
                </c:pt>
                <c:pt idx="10">
                  <c:v>4497466</c:v>
                </c:pt>
                <c:pt idx="11">
                  <c:v>1392972</c:v>
                </c:pt>
              </c:numCache>
            </c:numRef>
          </c:val>
          <c:smooth val="0"/>
          <c:extLst>
            <c:ext xmlns:c16="http://schemas.microsoft.com/office/drawing/2014/chart" uri="{C3380CC4-5D6E-409C-BE32-E72D297353CC}">
              <c16:uniqueId val="{00000001-AD29-480E-8E72-FDCACEC0F701}"/>
            </c:ext>
          </c:extLst>
        </c:ser>
        <c:dLbls>
          <c:showLegendKey val="0"/>
          <c:showVal val="0"/>
          <c:showCatName val="0"/>
          <c:showSerName val="0"/>
          <c:showPercent val="0"/>
          <c:showBubbleSize val="0"/>
        </c:dLbls>
        <c:marker val="1"/>
        <c:smooth val="0"/>
        <c:axId val="1370186336"/>
        <c:axId val="1318884720"/>
      </c:lineChart>
      <c:catAx>
        <c:axId val="96340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1120"/>
        <c:crosses val="autoZero"/>
        <c:auto val="1"/>
        <c:lblAlgn val="ctr"/>
        <c:lblOffset val="100"/>
        <c:noMultiLvlLbl val="0"/>
      </c:catAx>
      <c:valAx>
        <c:axId val="96340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3520"/>
        <c:crosses val="autoZero"/>
        <c:crossBetween val="between"/>
      </c:valAx>
      <c:valAx>
        <c:axId val="1318884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86336"/>
        <c:crosses val="max"/>
        <c:crossBetween val="between"/>
      </c:valAx>
      <c:catAx>
        <c:axId val="137018633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84720"/>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[Ankur_Chowdhury_JustLoan_Excel_Project_Data_Analysis.xlsx]Sum of Loan amount by Dept!PivotTable2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Sum of Loan</a:t>
            </a:r>
            <a:r>
              <a:rPr lang="en-IN" b="1" baseline="0"/>
              <a:t> amount </a:t>
            </a:r>
            <a:r>
              <a:rPr lang="en-IN" b="1"/>
              <a:t>by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Loan amount by Dept'!$B$3:$B$4</c:f>
              <c:strCache>
                <c:ptCount val="1"/>
                <c:pt idx="0">
                  <c:v>Finance - Director</c:v>
                </c:pt>
              </c:strCache>
            </c:strRef>
          </c:tx>
          <c:spPr>
            <a:solidFill>
              <a:schemeClr val="accent1"/>
            </a:solidFill>
            <a:ln>
              <a:noFill/>
            </a:ln>
            <a:effectLst/>
          </c:spPr>
          <c:invertIfNegative val="0"/>
          <c:cat>
            <c:strRef>
              <c:f>'Sum of Loan amount by Dept'!$A$5:$A$8</c:f>
              <c:strCache>
                <c:ptCount val="3"/>
                <c:pt idx="0">
                  <c:v>Car</c:v>
                </c:pt>
                <c:pt idx="1">
                  <c:v>Education</c:v>
                </c:pt>
                <c:pt idx="2">
                  <c:v>Personal</c:v>
                </c:pt>
              </c:strCache>
            </c:strRef>
          </c:cat>
          <c:val>
            <c:numRef>
              <c:f>'Sum of Loan amount by Dept'!$B$5:$B$8</c:f>
              <c:numCache>
                <c:formatCode>"₹"\ #,##0.00</c:formatCode>
                <c:ptCount val="3"/>
                <c:pt idx="0">
                  <c:v>12101333</c:v>
                </c:pt>
                <c:pt idx="1">
                  <c:v>18335575</c:v>
                </c:pt>
                <c:pt idx="2">
                  <c:v>8429355</c:v>
                </c:pt>
              </c:numCache>
            </c:numRef>
          </c:val>
          <c:extLst>
            <c:ext xmlns:c16="http://schemas.microsoft.com/office/drawing/2014/chart" uri="{C3380CC4-5D6E-409C-BE32-E72D297353CC}">
              <c16:uniqueId val="{00000000-BE8D-4AA2-8302-4BE11F2DB43C}"/>
            </c:ext>
          </c:extLst>
        </c:ser>
        <c:ser>
          <c:idx val="1"/>
          <c:order val="1"/>
          <c:tx>
            <c:strRef>
              <c:f>'Sum of Loan amount by Dept'!$C$3:$C$4</c:f>
              <c:strCache>
                <c:ptCount val="1"/>
                <c:pt idx="0">
                  <c:v>Finance - Executive</c:v>
                </c:pt>
              </c:strCache>
            </c:strRef>
          </c:tx>
          <c:spPr>
            <a:solidFill>
              <a:schemeClr val="accent2"/>
            </a:solidFill>
            <a:ln>
              <a:noFill/>
            </a:ln>
            <a:effectLst/>
          </c:spPr>
          <c:invertIfNegative val="0"/>
          <c:cat>
            <c:strRef>
              <c:f>'Sum of Loan amount by Dept'!$A$5:$A$8</c:f>
              <c:strCache>
                <c:ptCount val="3"/>
                <c:pt idx="0">
                  <c:v>Car</c:v>
                </c:pt>
                <c:pt idx="1">
                  <c:v>Education</c:v>
                </c:pt>
                <c:pt idx="2">
                  <c:v>Personal</c:v>
                </c:pt>
              </c:strCache>
            </c:strRef>
          </c:cat>
          <c:val>
            <c:numRef>
              <c:f>'Sum of Loan amount by Dept'!$C$5:$C$8</c:f>
              <c:numCache>
                <c:formatCode>"₹"\ #,##0.00</c:formatCode>
                <c:ptCount val="3"/>
                <c:pt idx="0">
                  <c:v>15190119</c:v>
                </c:pt>
                <c:pt idx="1">
                  <c:v>11916463</c:v>
                </c:pt>
                <c:pt idx="2">
                  <c:v>9072157</c:v>
                </c:pt>
              </c:numCache>
            </c:numRef>
          </c:val>
          <c:extLst>
            <c:ext xmlns:c16="http://schemas.microsoft.com/office/drawing/2014/chart" uri="{C3380CC4-5D6E-409C-BE32-E72D297353CC}">
              <c16:uniqueId val="{0000007D-BE8D-4AA2-8302-4BE11F2DB43C}"/>
            </c:ext>
          </c:extLst>
        </c:ser>
        <c:ser>
          <c:idx val="2"/>
          <c:order val="2"/>
          <c:tx>
            <c:strRef>
              <c:f>'Sum of Loan amount by Dept'!$D$3:$D$4</c:f>
              <c:strCache>
                <c:ptCount val="1"/>
                <c:pt idx="0">
                  <c:v>Finance - Intern</c:v>
                </c:pt>
              </c:strCache>
            </c:strRef>
          </c:tx>
          <c:spPr>
            <a:solidFill>
              <a:schemeClr val="accent3"/>
            </a:solidFill>
            <a:ln>
              <a:noFill/>
            </a:ln>
            <a:effectLst/>
          </c:spPr>
          <c:invertIfNegative val="0"/>
          <c:cat>
            <c:strRef>
              <c:f>'Sum of Loan amount by Dept'!$A$5:$A$8</c:f>
              <c:strCache>
                <c:ptCount val="3"/>
                <c:pt idx="0">
                  <c:v>Car</c:v>
                </c:pt>
                <c:pt idx="1">
                  <c:v>Education</c:v>
                </c:pt>
                <c:pt idx="2">
                  <c:v>Personal</c:v>
                </c:pt>
              </c:strCache>
            </c:strRef>
          </c:cat>
          <c:val>
            <c:numRef>
              <c:f>'Sum of Loan amount by Dept'!$D$5:$D$8</c:f>
              <c:numCache>
                <c:formatCode>"₹"\ #,##0.00</c:formatCode>
                <c:ptCount val="3"/>
                <c:pt idx="0">
                  <c:v>10051040</c:v>
                </c:pt>
                <c:pt idx="1">
                  <c:v>10162217</c:v>
                </c:pt>
                <c:pt idx="2">
                  <c:v>9443818</c:v>
                </c:pt>
              </c:numCache>
            </c:numRef>
          </c:val>
          <c:extLst>
            <c:ext xmlns:c16="http://schemas.microsoft.com/office/drawing/2014/chart" uri="{C3380CC4-5D6E-409C-BE32-E72D297353CC}">
              <c16:uniqueId val="{0000007E-BE8D-4AA2-8302-4BE11F2DB43C}"/>
            </c:ext>
          </c:extLst>
        </c:ser>
        <c:ser>
          <c:idx val="3"/>
          <c:order val="3"/>
          <c:tx>
            <c:strRef>
              <c:f>'Sum of Loan amount by Dept'!$E$3:$E$4</c:f>
              <c:strCache>
                <c:ptCount val="1"/>
                <c:pt idx="0">
                  <c:v>Finance - Manager</c:v>
                </c:pt>
              </c:strCache>
            </c:strRef>
          </c:tx>
          <c:spPr>
            <a:solidFill>
              <a:schemeClr val="accent4"/>
            </a:solidFill>
            <a:ln>
              <a:noFill/>
            </a:ln>
            <a:effectLst/>
          </c:spPr>
          <c:invertIfNegative val="0"/>
          <c:cat>
            <c:strRef>
              <c:f>'Sum of Loan amount by Dept'!$A$5:$A$8</c:f>
              <c:strCache>
                <c:ptCount val="3"/>
                <c:pt idx="0">
                  <c:v>Car</c:v>
                </c:pt>
                <c:pt idx="1">
                  <c:v>Education</c:v>
                </c:pt>
                <c:pt idx="2">
                  <c:v>Personal</c:v>
                </c:pt>
              </c:strCache>
            </c:strRef>
          </c:cat>
          <c:val>
            <c:numRef>
              <c:f>'Sum of Loan amount by Dept'!$E$5:$E$8</c:f>
              <c:numCache>
                <c:formatCode>"₹"\ #,##0.00</c:formatCode>
                <c:ptCount val="3"/>
                <c:pt idx="0">
                  <c:v>8374266</c:v>
                </c:pt>
                <c:pt idx="1">
                  <c:v>13506588</c:v>
                </c:pt>
                <c:pt idx="2">
                  <c:v>14998935</c:v>
                </c:pt>
              </c:numCache>
            </c:numRef>
          </c:val>
          <c:extLst>
            <c:ext xmlns:c16="http://schemas.microsoft.com/office/drawing/2014/chart" uri="{C3380CC4-5D6E-409C-BE32-E72D297353CC}">
              <c16:uniqueId val="{0000007F-BE8D-4AA2-8302-4BE11F2DB43C}"/>
            </c:ext>
          </c:extLst>
        </c:ser>
        <c:ser>
          <c:idx val="4"/>
          <c:order val="4"/>
          <c:tx>
            <c:strRef>
              <c:f>'Sum of Loan amount by Dept'!$F$3:$F$4</c:f>
              <c:strCache>
                <c:ptCount val="1"/>
                <c:pt idx="0">
                  <c:v>Growth - Director</c:v>
                </c:pt>
              </c:strCache>
            </c:strRef>
          </c:tx>
          <c:spPr>
            <a:solidFill>
              <a:schemeClr val="accent5"/>
            </a:solidFill>
            <a:ln>
              <a:noFill/>
            </a:ln>
            <a:effectLst/>
          </c:spPr>
          <c:invertIfNegative val="0"/>
          <c:cat>
            <c:strRef>
              <c:f>'Sum of Loan amount by Dept'!$A$5:$A$8</c:f>
              <c:strCache>
                <c:ptCount val="3"/>
                <c:pt idx="0">
                  <c:v>Car</c:v>
                </c:pt>
                <c:pt idx="1">
                  <c:v>Education</c:v>
                </c:pt>
                <c:pt idx="2">
                  <c:v>Personal</c:v>
                </c:pt>
              </c:strCache>
            </c:strRef>
          </c:cat>
          <c:val>
            <c:numRef>
              <c:f>'Sum of Loan amount by Dept'!$F$5:$F$8</c:f>
              <c:numCache>
                <c:formatCode>"₹"\ #,##0.00</c:formatCode>
                <c:ptCount val="3"/>
                <c:pt idx="0">
                  <c:v>14034986</c:v>
                </c:pt>
                <c:pt idx="1">
                  <c:v>16928687</c:v>
                </c:pt>
                <c:pt idx="2">
                  <c:v>13751849</c:v>
                </c:pt>
              </c:numCache>
            </c:numRef>
          </c:val>
          <c:extLst>
            <c:ext xmlns:c16="http://schemas.microsoft.com/office/drawing/2014/chart" uri="{C3380CC4-5D6E-409C-BE32-E72D297353CC}">
              <c16:uniqueId val="{00000080-BE8D-4AA2-8302-4BE11F2DB43C}"/>
            </c:ext>
          </c:extLst>
        </c:ser>
        <c:ser>
          <c:idx val="5"/>
          <c:order val="5"/>
          <c:tx>
            <c:strRef>
              <c:f>'Sum of Loan amount by Dept'!$G$3:$G$4</c:f>
              <c:strCache>
                <c:ptCount val="1"/>
                <c:pt idx="0">
                  <c:v>Growth - Executive</c:v>
                </c:pt>
              </c:strCache>
            </c:strRef>
          </c:tx>
          <c:spPr>
            <a:solidFill>
              <a:schemeClr val="accent6"/>
            </a:solidFill>
            <a:ln>
              <a:noFill/>
            </a:ln>
            <a:effectLst/>
          </c:spPr>
          <c:invertIfNegative val="0"/>
          <c:cat>
            <c:strRef>
              <c:f>'Sum of Loan amount by Dept'!$A$5:$A$8</c:f>
              <c:strCache>
                <c:ptCount val="3"/>
                <c:pt idx="0">
                  <c:v>Car</c:v>
                </c:pt>
                <c:pt idx="1">
                  <c:v>Education</c:v>
                </c:pt>
                <c:pt idx="2">
                  <c:v>Personal</c:v>
                </c:pt>
              </c:strCache>
            </c:strRef>
          </c:cat>
          <c:val>
            <c:numRef>
              <c:f>'Sum of Loan amount by Dept'!$G$5:$G$8</c:f>
              <c:numCache>
                <c:formatCode>"₹"\ #,##0.00</c:formatCode>
                <c:ptCount val="3"/>
                <c:pt idx="0">
                  <c:v>7815312</c:v>
                </c:pt>
                <c:pt idx="1">
                  <c:v>11750690</c:v>
                </c:pt>
                <c:pt idx="2">
                  <c:v>7721195</c:v>
                </c:pt>
              </c:numCache>
            </c:numRef>
          </c:val>
          <c:extLst>
            <c:ext xmlns:c16="http://schemas.microsoft.com/office/drawing/2014/chart" uri="{C3380CC4-5D6E-409C-BE32-E72D297353CC}">
              <c16:uniqueId val="{00000081-BE8D-4AA2-8302-4BE11F2DB43C}"/>
            </c:ext>
          </c:extLst>
        </c:ser>
        <c:ser>
          <c:idx val="6"/>
          <c:order val="6"/>
          <c:tx>
            <c:strRef>
              <c:f>'Sum of Loan amount by Dept'!$H$3:$H$4</c:f>
              <c:strCache>
                <c:ptCount val="1"/>
                <c:pt idx="0">
                  <c:v>Growth - Intern</c:v>
                </c:pt>
              </c:strCache>
            </c:strRef>
          </c:tx>
          <c:spPr>
            <a:solidFill>
              <a:schemeClr val="accent1">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Dept'!$H$5:$H$8</c:f>
              <c:numCache>
                <c:formatCode>"₹"\ #,##0.00</c:formatCode>
                <c:ptCount val="3"/>
                <c:pt idx="0">
                  <c:v>15070883</c:v>
                </c:pt>
                <c:pt idx="1">
                  <c:v>8481360</c:v>
                </c:pt>
                <c:pt idx="2">
                  <c:v>14295387</c:v>
                </c:pt>
              </c:numCache>
            </c:numRef>
          </c:val>
          <c:extLst>
            <c:ext xmlns:c16="http://schemas.microsoft.com/office/drawing/2014/chart" uri="{C3380CC4-5D6E-409C-BE32-E72D297353CC}">
              <c16:uniqueId val="{00000082-BE8D-4AA2-8302-4BE11F2DB43C}"/>
            </c:ext>
          </c:extLst>
        </c:ser>
        <c:ser>
          <c:idx val="7"/>
          <c:order val="7"/>
          <c:tx>
            <c:strRef>
              <c:f>'Sum of Loan amount by Dept'!$I$3:$I$4</c:f>
              <c:strCache>
                <c:ptCount val="1"/>
                <c:pt idx="0">
                  <c:v>Growth - Manager</c:v>
                </c:pt>
              </c:strCache>
            </c:strRef>
          </c:tx>
          <c:spPr>
            <a:solidFill>
              <a:schemeClr val="accent2">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Dept'!$I$5:$I$8</c:f>
              <c:numCache>
                <c:formatCode>"₹"\ #,##0.00</c:formatCode>
                <c:ptCount val="3"/>
                <c:pt idx="0">
                  <c:v>9476785</c:v>
                </c:pt>
                <c:pt idx="1">
                  <c:v>10653695</c:v>
                </c:pt>
                <c:pt idx="2">
                  <c:v>14838209</c:v>
                </c:pt>
              </c:numCache>
            </c:numRef>
          </c:val>
          <c:extLst>
            <c:ext xmlns:c16="http://schemas.microsoft.com/office/drawing/2014/chart" uri="{C3380CC4-5D6E-409C-BE32-E72D297353CC}">
              <c16:uniqueId val="{00000083-BE8D-4AA2-8302-4BE11F2DB43C}"/>
            </c:ext>
          </c:extLst>
        </c:ser>
        <c:ser>
          <c:idx val="8"/>
          <c:order val="8"/>
          <c:tx>
            <c:strRef>
              <c:f>'Sum of Loan amount by Dept'!$J$3:$J$4</c:f>
              <c:strCache>
                <c:ptCount val="1"/>
                <c:pt idx="0">
                  <c:v>Marketing - Director</c:v>
                </c:pt>
              </c:strCache>
            </c:strRef>
          </c:tx>
          <c:spPr>
            <a:solidFill>
              <a:schemeClr val="accent3">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Dept'!$J$5:$J$8</c:f>
              <c:numCache>
                <c:formatCode>"₹"\ #,##0.00</c:formatCode>
                <c:ptCount val="3"/>
                <c:pt idx="0">
                  <c:v>14258317</c:v>
                </c:pt>
                <c:pt idx="1">
                  <c:v>10508474</c:v>
                </c:pt>
                <c:pt idx="2">
                  <c:v>13596281</c:v>
                </c:pt>
              </c:numCache>
            </c:numRef>
          </c:val>
          <c:extLst>
            <c:ext xmlns:c16="http://schemas.microsoft.com/office/drawing/2014/chart" uri="{C3380CC4-5D6E-409C-BE32-E72D297353CC}">
              <c16:uniqueId val="{00000084-BE8D-4AA2-8302-4BE11F2DB43C}"/>
            </c:ext>
          </c:extLst>
        </c:ser>
        <c:ser>
          <c:idx val="9"/>
          <c:order val="9"/>
          <c:tx>
            <c:strRef>
              <c:f>'Sum of Loan amount by Dept'!$K$3:$K$4</c:f>
              <c:strCache>
                <c:ptCount val="1"/>
                <c:pt idx="0">
                  <c:v>Marketing - Executive</c:v>
                </c:pt>
              </c:strCache>
            </c:strRef>
          </c:tx>
          <c:spPr>
            <a:solidFill>
              <a:schemeClr val="accent4">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Dept'!$K$5:$K$8</c:f>
              <c:numCache>
                <c:formatCode>"₹"\ #,##0.00</c:formatCode>
                <c:ptCount val="3"/>
                <c:pt idx="0">
                  <c:v>10566762</c:v>
                </c:pt>
                <c:pt idx="1">
                  <c:v>14676321</c:v>
                </c:pt>
                <c:pt idx="2">
                  <c:v>13206569</c:v>
                </c:pt>
              </c:numCache>
            </c:numRef>
          </c:val>
          <c:extLst>
            <c:ext xmlns:c16="http://schemas.microsoft.com/office/drawing/2014/chart" uri="{C3380CC4-5D6E-409C-BE32-E72D297353CC}">
              <c16:uniqueId val="{00000085-BE8D-4AA2-8302-4BE11F2DB43C}"/>
            </c:ext>
          </c:extLst>
        </c:ser>
        <c:ser>
          <c:idx val="10"/>
          <c:order val="10"/>
          <c:tx>
            <c:strRef>
              <c:f>'Sum of Loan amount by Dept'!$L$3:$L$4</c:f>
              <c:strCache>
                <c:ptCount val="1"/>
                <c:pt idx="0">
                  <c:v>Marketing - Intern</c:v>
                </c:pt>
              </c:strCache>
            </c:strRef>
          </c:tx>
          <c:spPr>
            <a:solidFill>
              <a:schemeClr val="accent5">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Dept'!$L$5:$L$8</c:f>
              <c:numCache>
                <c:formatCode>"₹"\ #,##0.00</c:formatCode>
                <c:ptCount val="3"/>
                <c:pt idx="0">
                  <c:v>9602690</c:v>
                </c:pt>
                <c:pt idx="1">
                  <c:v>9090328</c:v>
                </c:pt>
                <c:pt idx="2">
                  <c:v>12040914</c:v>
                </c:pt>
              </c:numCache>
            </c:numRef>
          </c:val>
          <c:extLst>
            <c:ext xmlns:c16="http://schemas.microsoft.com/office/drawing/2014/chart" uri="{C3380CC4-5D6E-409C-BE32-E72D297353CC}">
              <c16:uniqueId val="{00000086-BE8D-4AA2-8302-4BE11F2DB43C}"/>
            </c:ext>
          </c:extLst>
        </c:ser>
        <c:ser>
          <c:idx val="11"/>
          <c:order val="11"/>
          <c:tx>
            <c:strRef>
              <c:f>'Sum of Loan amount by Dept'!$M$3:$M$4</c:f>
              <c:strCache>
                <c:ptCount val="1"/>
                <c:pt idx="0">
                  <c:v>Marketing - Manager</c:v>
                </c:pt>
              </c:strCache>
            </c:strRef>
          </c:tx>
          <c:spPr>
            <a:solidFill>
              <a:schemeClr val="accent6">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Dept'!$M$5:$M$8</c:f>
              <c:numCache>
                <c:formatCode>"₹"\ #,##0.00</c:formatCode>
                <c:ptCount val="3"/>
                <c:pt idx="0">
                  <c:v>14784240</c:v>
                </c:pt>
                <c:pt idx="1">
                  <c:v>13432979</c:v>
                </c:pt>
                <c:pt idx="2">
                  <c:v>11760155</c:v>
                </c:pt>
              </c:numCache>
            </c:numRef>
          </c:val>
          <c:extLst>
            <c:ext xmlns:c16="http://schemas.microsoft.com/office/drawing/2014/chart" uri="{C3380CC4-5D6E-409C-BE32-E72D297353CC}">
              <c16:uniqueId val="{00000087-BE8D-4AA2-8302-4BE11F2DB43C}"/>
            </c:ext>
          </c:extLst>
        </c:ser>
        <c:ser>
          <c:idx val="12"/>
          <c:order val="12"/>
          <c:tx>
            <c:strRef>
              <c:f>'Sum of Loan amount by Dept'!$N$3:$N$4</c:f>
              <c:strCache>
                <c:ptCount val="1"/>
                <c:pt idx="0">
                  <c:v>Operation - Director</c:v>
                </c:pt>
              </c:strCache>
            </c:strRef>
          </c:tx>
          <c:spPr>
            <a:solidFill>
              <a:schemeClr val="accent1">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Dept'!$N$5:$N$8</c:f>
              <c:numCache>
                <c:formatCode>"₹"\ #,##0.00</c:formatCode>
                <c:ptCount val="3"/>
                <c:pt idx="0">
                  <c:v>14473092</c:v>
                </c:pt>
                <c:pt idx="1">
                  <c:v>7376791</c:v>
                </c:pt>
                <c:pt idx="2">
                  <c:v>9252547</c:v>
                </c:pt>
              </c:numCache>
            </c:numRef>
          </c:val>
          <c:extLst>
            <c:ext xmlns:c16="http://schemas.microsoft.com/office/drawing/2014/chart" uri="{C3380CC4-5D6E-409C-BE32-E72D297353CC}">
              <c16:uniqueId val="{00000088-BE8D-4AA2-8302-4BE11F2DB43C}"/>
            </c:ext>
          </c:extLst>
        </c:ser>
        <c:ser>
          <c:idx val="13"/>
          <c:order val="13"/>
          <c:tx>
            <c:strRef>
              <c:f>'Sum of Loan amount by Dept'!$O$3:$O$4</c:f>
              <c:strCache>
                <c:ptCount val="1"/>
                <c:pt idx="0">
                  <c:v>Operation - Executive</c:v>
                </c:pt>
              </c:strCache>
            </c:strRef>
          </c:tx>
          <c:spPr>
            <a:solidFill>
              <a:schemeClr val="accent2">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Dept'!$O$5:$O$8</c:f>
              <c:numCache>
                <c:formatCode>"₹"\ #,##0.00</c:formatCode>
                <c:ptCount val="3"/>
                <c:pt idx="0">
                  <c:v>7793513</c:v>
                </c:pt>
                <c:pt idx="1">
                  <c:v>12859275</c:v>
                </c:pt>
                <c:pt idx="2">
                  <c:v>12700398</c:v>
                </c:pt>
              </c:numCache>
            </c:numRef>
          </c:val>
          <c:extLst>
            <c:ext xmlns:c16="http://schemas.microsoft.com/office/drawing/2014/chart" uri="{C3380CC4-5D6E-409C-BE32-E72D297353CC}">
              <c16:uniqueId val="{00000089-BE8D-4AA2-8302-4BE11F2DB43C}"/>
            </c:ext>
          </c:extLst>
        </c:ser>
        <c:ser>
          <c:idx val="14"/>
          <c:order val="14"/>
          <c:tx>
            <c:strRef>
              <c:f>'Sum of Loan amount by Dept'!$P$3:$P$4</c:f>
              <c:strCache>
                <c:ptCount val="1"/>
                <c:pt idx="0">
                  <c:v>Operation - Intern</c:v>
                </c:pt>
              </c:strCache>
            </c:strRef>
          </c:tx>
          <c:spPr>
            <a:solidFill>
              <a:schemeClr val="accent3">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Dept'!$P$5:$P$8</c:f>
              <c:numCache>
                <c:formatCode>"₹"\ #,##0.00</c:formatCode>
                <c:ptCount val="3"/>
                <c:pt idx="0">
                  <c:v>9996545</c:v>
                </c:pt>
                <c:pt idx="1">
                  <c:v>7667493</c:v>
                </c:pt>
                <c:pt idx="2">
                  <c:v>10410583</c:v>
                </c:pt>
              </c:numCache>
            </c:numRef>
          </c:val>
          <c:extLst>
            <c:ext xmlns:c16="http://schemas.microsoft.com/office/drawing/2014/chart" uri="{C3380CC4-5D6E-409C-BE32-E72D297353CC}">
              <c16:uniqueId val="{0000008A-BE8D-4AA2-8302-4BE11F2DB43C}"/>
            </c:ext>
          </c:extLst>
        </c:ser>
        <c:ser>
          <c:idx val="15"/>
          <c:order val="15"/>
          <c:tx>
            <c:strRef>
              <c:f>'Sum of Loan amount by Dept'!$Q$3:$Q$4</c:f>
              <c:strCache>
                <c:ptCount val="1"/>
                <c:pt idx="0">
                  <c:v>Operation - Manager</c:v>
                </c:pt>
              </c:strCache>
            </c:strRef>
          </c:tx>
          <c:spPr>
            <a:solidFill>
              <a:schemeClr val="accent4">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Dept'!$Q$5:$Q$8</c:f>
              <c:numCache>
                <c:formatCode>"₹"\ #,##0.00</c:formatCode>
                <c:ptCount val="3"/>
                <c:pt idx="0">
                  <c:v>11084996</c:v>
                </c:pt>
                <c:pt idx="1">
                  <c:v>8716008</c:v>
                </c:pt>
                <c:pt idx="2">
                  <c:v>19950348</c:v>
                </c:pt>
              </c:numCache>
            </c:numRef>
          </c:val>
          <c:extLst>
            <c:ext xmlns:c16="http://schemas.microsoft.com/office/drawing/2014/chart" uri="{C3380CC4-5D6E-409C-BE32-E72D297353CC}">
              <c16:uniqueId val="{0000008B-BE8D-4AA2-8302-4BE11F2DB43C}"/>
            </c:ext>
          </c:extLst>
        </c:ser>
        <c:ser>
          <c:idx val="16"/>
          <c:order val="16"/>
          <c:tx>
            <c:strRef>
              <c:f>'Sum of Loan amount by Dept'!$R$3:$R$4</c:f>
              <c:strCache>
                <c:ptCount val="1"/>
                <c:pt idx="0">
                  <c:v>Sales - Director</c:v>
                </c:pt>
              </c:strCache>
            </c:strRef>
          </c:tx>
          <c:spPr>
            <a:solidFill>
              <a:schemeClr val="accent5">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Dept'!$R$5:$R$8</c:f>
              <c:numCache>
                <c:formatCode>"₹"\ #,##0.00</c:formatCode>
                <c:ptCount val="3"/>
                <c:pt idx="0">
                  <c:v>14726663</c:v>
                </c:pt>
                <c:pt idx="1">
                  <c:v>11140692</c:v>
                </c:pt>
                <c:pt idx="2">
                  <c:v>6528224</c:v>
                </c:pt>
              </c:numCache>
            </c:numRef>
          </c:val>
          <c:extLst>
            <c:ext xmlns:c16="http://schemas.microsoft.com/office/drawing/2014/chart" uri="{C3380CC4-5D6E-409C-BE32-E72D297353CC}">
              <c16:uniqueId val="{0000008C-BE8D-4AA2-8302-4BE11F2DB43C}"/>
            </c:ext>
          </c:extLst>
        </c:ser>
        <c:ser>
          <c:idx val="17"/>
          <c:order val="17"/>
          <c:tx>
            <c:strRef>
              <c:f>'Sum of Loan amount by Dept'!$S$3:$S$4</c:f>
              <c:strCache>
                <c:ptCount val="1"/>
                <c:pt idx="0">
                  <c:v>Sales - Executive</c:v>
                </c:pt>
              </c:strCache>
            </c:strRef>
          </c:tx>
          <c:spPr>
            <a:solidFill>
              <a:schemeClr val="accent6">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Dept'!$S$5:$S$8</c:f>
              <c:numCache>
                <c:formatCode>"₹"\ #,##0.00</c:formatCode>
                <c:ptCount val="3"/>
                <c:pt idx="0">
                  <c:v>7103470</c:v>
                </c:pt>
                <c:pt idx="1">
                  <c:v>11580522</c:v>
                </c:pt>
                <c:pt idx="2">
                  <c:v>13220420</c:v>
                </c:pt>
              </c:numCache>
            </c:numRef>
          </c:val>
          <c:extLst>
            <c:ext xmlns:c16="http://schemas.microsoft.com/office/drawing/2014/chart" uri="{C3380CC4-5D6E-409C-BE32-E72D297353CC}">
              <c16:uniqueId val="{0000008D-BE8D-4AA2-8302-4BE11F2DB43C}"/>
            </c:ext>
          </c:extLst>
        </c:ser>
        <c:ser>
          <c:idx val="18"/>
          <c:order val="18"/>
          <c:tx>
            <c:strRef>
              <c:f>'Sum of Loan amount by Dept'!$T$3:$T$4</c:f>
              <c:strCache>
                <c:ptCount val="1"/>
                <c:pt idx="0">
                  <c:v>Sales - Intern</c:v>
                </c:pt>
              </c:strCache>
            </c:strRef>
          </c:tx>
          <c:spPr>
            <a:solidFill>
              <a:schemeClr val="accent1">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Dept'!$T$5:$T$8</c:f>
              <c:numCache>
                <c:formatCode>"₹"\ #,##0.00</c:formatCode>
                <c:ptCount val="3"/>
                <c:pt idx="0">
                  <c:v>9231323</c:v>
                </c:pt>
                <c:pt idx="1">
                  <c:v>6594664</c:v>
                </c:pt>
                <c:pt idx="2">
                  <c:v>16508096</c:v>
                </c:pt>
              </c:numCache>
            </c:numRef>
          </c:val>
          <c:extLst>
            <c:ext xmlns:c16="http://schemas.microsoft.com/office/drawing/2014/chart" uri="{C3380CC4-5D6E-409C-BE32-E72D297353CC}">
              <c16:uniqueId val="{0000008E-BE8D-4AA2-8302-4BE11F2DB43C}"/>
            </c:ext>
          </c:extLst>
        </c:ser>
        <c:ser>
          <c:idx val="19"/>
          <c:order val="19"/>
          <c:tx>
            <c:strRef>
              <c:f>'Sum of Loan amount by Dept'!$U$3:$U$4</c:f>
              <c:strCache>
                <c:ptCount val="1"/>
                <c:pt idx="0">
                  <c:v>Sales - Manager</c:v>
                </c:pt>
              </c:strCache>
            </c:strRef>
          </c:tx>
          <c:spPr>
            <a:solidFill>
              <a:schemeClr val="accent2">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Dept'!$U$5:$U$8</c:f>
              <c:numCache>
                <c:formatCode>"₹"\ #,##0.00</c:formatCode>
                <c:ptCount val="3"/>
                <c:pt idx="0">
                  <c:v>11463189</c:v>
                </c:pt>
                <c:pt idx="1">
                  <c:v>10451008</c:v>
                </c:pt>
                <c:pt idx="2">
                  <c:v>12827132</c:v>
                </c:pt>
              </c:numCache>
            </c:numRef>
          </c:val>
          <c:extLst>
            <c:ext xmlns:c16="http://schemas.microsoft.com/office/drawing/2014/chart" uri="{C3380CC4-5D6E-409C-BE32-E72D297353CC}">
              <c16:uniqueId val="{0000008F-BE8D-4AA2-8302-4BE11F2DB43C}"/>
            </c:ext>
          </c:extLst>
        </c:ser>
        <c:ser>
          <c:idx val="20"/>
          <c:order val="20"/>
          <c:tx>
            <c:strRef>
              <c:f>'Sum of Loan amount by Dept'!$V$3:$V$4</c:f>
              <c:strCache>
                <c:ptCount val="1"/>
                <c:pt idx="0">
                  <c:v>Strategy - Director</c:v>
                </c:pt>
              </c:strCache>
            </c:strRef>
          </c:tx>
          <c:spPr>
            <a:solidFill>
              <a:schemeClr val="accent3">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Dept'!$V$5:$V$8</c:f>
              <c:numCache>
                <c:formatCode>"₹"\ #,##0.00</c:formatCode>
                <c:ptCount val="3"/>
                <c:pt idx="0">
                  <c:v>11420746</c:v>
                </c:pt>
                <c:pt idx="1">
                  <c:v>7698976</c:v>
                </c:pt>
                <c:pt idx="2">
                  <c:v>8614805</c:v>
                </c:pt>
              </c:numCache>
            </c:numRef>
          </c:val>
          <c:extLst>
            <c:ext xmlns:c16="http://schemas.microsoft.com/office/drawing/2014/chart" uri="{C3380CC4-5D6E-409C-BE32-E72D297353CC}">
              <c16:uniqueId val="{00000090-BE8D-4AA2-8302-4BE11F2DB43C}"/>
            </c:ext>
          </c:extLst>
        </c:ser>
        <c:ser>
          <c:idx val="21"/>
          <c:order val="21"/>
          <c:tx>
            <c:strRef>
              <c:f>'Sum of Loan amount by Dept'!$W$3:$W$4</c:f>
              <c:strCache>
                <c:ptCount val="1"/>
                <c:pt idx="0">
                  <c:v>Strategy - Executive</c:v>
                </c:pt>
              </c:strCache>
            </c:strRef>
          </c:tx>
          <c:spPr>
            <a:solidFill>
              <a:schemeClr val="accent4">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Dept'!$W$5:$W$8</c:f>
              <c:numCache>
                <c:formatCode>"₹"\ #,##0.00</c:formatCode>
                <c:ptCount val="3"/>
                <c:pt idx="0">
                  <c:v>11125345</c:v>
                </c:pt>
                <c:pt idx="1">
                  <c:v>10375753</c:v>
                </c:pt>
                <c:pt idx="2">
                  <c:v>12003093</c:v>
                </c:pt>
              </c:numCache>
            </c:numRef>
          </c:val>
          <c:extLst>
            <c:ext xmlns:c16="http://schemas.microsoft.com/office/drawing/2014/chart" uri="{C3380CC4-5D6E-409C-BE32-E72D297353CC}">
              <c16:uniqueId val="{00000091-BE8D-4AA2-8302-4BE11F2DB43C}"/>
            </c:ext>
          </c:extLst>
        </c:ser>
        <c:ser>
          <c:idx val="22"/>
          <c:order val="22"/>
          <c:tx>
            <c:strRef>
              <c:f>'Sum of Loan amount by Dept'!$X$3:$X$4</c:f>
              <c:strCache>
                <c:ptCount val="1"/>
                <c:pt idx="0">
                  <c:v>Strategy - Intern</c:v>
                </c:pt>
              </c:strCache>
            </c:strRef>
          </c:tx>
          <c:spPr>
            <a:solidFill>
              <a:schemeClr val="accent5">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Dept'!$X$5:$X$8</c:f>
              <c:numCache>
                <c:formatCode>"₹"\ #,##0.00</c:formatCode>
                <c:ptCount val="3"/>
                <c:pt idx="0">
                  <c:v>8495327</c:v>
                </c:pt>
                <c:pt idx="1">
                  <c:v>14199637</c:v>
                </c:pt>
                <c:pt idx="2">
                  <c:v>7476046</c:v>
                </c:pt>
              </c:numCache>
            </c:numRef>
          </c:val>
          <c:extLst>
            <c:ext xmlns:c16="http://schemas.microsoft.com/office/drawing/2014/chart" uri="{C3380CC4-5D6E-409C-BE32-E72D297353CC}">
              <c16:uniqueId val="{00000092-BE8D-4AA2-8302-4BE11F2DB43C}"/>
            </c:ext>
          </c:extLst>
        </c:ser>
        <c:ser>
          <c:idx val="23"/>
          <c:order val="23"/>
          <c:tx>
            <c:strRef>
              <c:f>'Sum of Loan amount by Dept'!$Y$3:$Y$4</c:f>
              <c:strCache>
                <c:ptCount val="1"/>
                <c:pt idx="0">
                  <c:v>Strategy - Manager</c:v>
                </c:pt>
              </c:strCache>
            </c:strRef>
          </c:tx>
          <c:spPr>
            <a:solidFill>
              <a:schemeClr val="accent6">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Dept'!$Y$5:$Y$8</c:f>
              <c:numCache>
                <c:formatCode>"₹"\ #,##0.00</c:formatCode>
                <c:ptCount val="3"/>
                <c:pt idx="0">
                  <c:v>13121174</c:v>
                </c:pt>
                <c:pt idx="1">
                  <c:v>13143962</c:v>
                </c:pt>
                <c:pt idx="2">
                  <c:v>7250755</c:v>
                </c:pt>
              </c:numCache>
            </c:numRef>
          </c:val>
          <c:extLst>
            <c:ext xmlns:c16="http://schemas.microsoft.com/office/drawing/2014/chart" uri="{C3380CC4-5D6E-409C-BE32-E72D297353CC}">
              <c16:uniqueId val="{00000093-BE8D-4AA2-8302-4BE11F2DB43C}"/>
            </c:ext>
          </c:extLst>
        </c:ser>
        <c:dLbls>
          <c:showLegendKey val="0"/>
          <c:showVal val="0"/>
          <c:showCatName val="0"/>
          <c:showSerName val="0"/>
          <c:showPercent val="0"/>
          <c:showBubbleSize val="0"/>
        </c:dLbls>
        <c:gapWidth val="219"/>
        <c:overlap val="-27"/>
        <c:axId val="107388064"/>
        <c:axId val="107385664"/>
      </c:barChart>
      <c:catAx>
        <c:axId val="10738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5664"/>
        <c:crosses val="autoZero"/>
        <c:auto val="1"/>
        <c:lblAlgn val="ctr"/>
        <c:lblOffset val="100"/>
        <c:noMultiLvlLbl val="0"/>
      </c:catAx>
      <c:valAx>
        <c:axId val="1073856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[Ankur_Chowdhury_JustLoan_Excel_Project_Data_Analysis.xlsx]Total Loan Amount!PivotTable1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Loan</a:t>
            </a:r>
            <a:r>
              <a:rPr lang="en-IN" b="1" baseline="0"/>
              <a:t> Amount by Loan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FFC000"/>
          </a:solidFill>
          <a:ln>
            <a:noFill/>
          </a:ln>
          <a:effectLst/>
        </c:spPr>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2060"/>
          </a:solidFill>
          <a:ln>
            <a:noFill/>
          </a:ln>
          <a:effectLst/>
        </c:spPr>
      </c:pivotFmt>
      <c:pivotFmt>
        <c:idx val="27"/>
        <c:spPr>
          <a:solidFill>
            <a:srgbClr val="FFC000"/>
          </a:solidFill>
          <a:ln>
            <a:noFill/>
          </a:ln>
          <a:effectLst/>
        </c:spPr>
      </c:pivotFmt>
      <c:pivotFmt>
        <c:idx val="28"/>
        <c:spPr>
          <a:solidFill>
            <a:schemeClr val="accent1"/>
          </a:solidFill>
          <a:ln>
            <a:noFill/>
          </a:ln>
          <a:effectLst/>
        </c:spPr>
      </c:pivotFmt>
      <c:pivotFmt>
        <c:idx val="29"/>
        <c:spPr>
          <a:solidFill>
            <a:schemeClr val="accent2"/>
          </a:solidFill>
          <a:ln>
            <a:noFill/>
          </a:ln>
          <a:effectLst/>
        </c:spPr>
      </c:pivotFmt>
      <c:pivotFmt>
        <c:idx val="30"/>
        <c:spPr>
          <a:solidFill>
            <a:schemeClr val="accent3"/>
          </a:solidFill>
          <a:ln>
            <a:noFill/>
          </a:ln>
          <a:effectLst/>
        </c:spPr>
      </c:pivotFmt>
    </c:pivotFmts>
    <c:plotArea>
      <c:layout/>
      <c:barChart>
        <c:barDir val="col"/>
        <c:grouping val="clustered"/>
        <c:varyColors val="0"/>
        <c:ser>
          <c:idx val="0"/>
          <c:order val="0"/>
          <c:tx>
            <c:strRef>
              <c:f>'Total Loan Amount'!$B$3</c:f>
              <c:strCache>
                <c:ptCount val="1"/>
                <c:pt idx="0">
                  <c:v>Total</c:v>
                </c:pt>
              </c:strCache>
            </c:strRef>
          </c:tx>
          <c:spPr>
            <a:solidFill>
              <a:schemeClr val="accent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1719-41A1-8728-82F9853321E7}"/>
              </c:ext>
            </c:extLst>
          </c:dPt>
          <c:dPt>
            <c:idx val="1"/>
            <c:invertIfNegative val="0"/>
            <c:bubble3D val="0"/>
            <c:extLst>
              <c:ext xmlns:c16="http://schemas.microsoft.com/office/drawing/2014/chart" uri="{C3380CC4-5D6E-409C-BE32-E72D297353CC}">
                <c16:uniqueId val="{00000002-9A73-4CBD-9CCC-6400BC62195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9A73-4CBD-9CCC-6400BC62195D}"/>
              </c:ext>
            </c:extLst>
          </c:dPt>
          <c:cat>
            <c:strRef>
              <c:f>'Total Loan Amount'!$A$4:$A$7</c:f>
              <c:strCache>
                <c:ptCount val="3"/>
                <c:pt idx="0">
                  <c:v>Car</c:v>
                </c:pt>
                <c:pt idx="1">
                  <c:v>Education</c:v>
                </c:pt>
                <c:pt idx="2">
                  <c:v>Personal</c:v>
                </c:pt>
              </c:strCache>
            </c:strRef>
          </c:cat>
          <c:val>
            <c:numRef>
              <c:f>'Total Loan Amount'!$B$4:$B$7</c:f>
              <c:numCache>
                <c:formatCode>[&gt;=1000000]0.0,,"M";[&gt;=1000]0,"K";0</c:formatCode>
                <c:ptCount val="3"/>
                <c:pt idx="0">
                  <c:v>271362116</c:v>
                </c:pt>
                <c:pt idx="1">
                  <c:v>271248158</c:v>
                </c:pt>
                <c:pt idx="2">
                  <c:v>279897271</c:v>
                </c:pt>
              </c:numCache>
            </c:numRef>
          </c:val>
          <c:extLst>
            <c:ext xmlns:c16="http://schemas.microsoft.com/office/drawing/2014/chart" uri="{C3380CC4-5D6E-409C-BE32-E72D297353CC}">
              <c16:uniqueId val="{00000000-9A73-4CBD-9CCC-6400BC62195D}"/>
            </c:ext>
          </c:extLst>
        </c:ser>
        <c:dLbls>
          <c:showLegendKey val="0"/>
          <c:showVal val="0"/>
          <c:showCatName val="0"/>
          <c:showSerName val="0"/>
          <c:showPercent val="0"/>
          <c:showBubbleSize val="0"/>
        </c:dLbls>
        <c:gapWidth val="219"/>
        <c:overlap val="-27"/>
        <c:axId val="1979888816"/>
        <c:axId val="1989201488"/>
      </c:barChart>
      <c:catAx>
        <c:axId val="197988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01488"/>
        <c:crosses val="autoZero"/>
        <c:auto val="1"/>
        <c:lblAlgn val="ctr"/>
        <c:lblOffset val="100"/>
        <c:noMultiLvlLbl val="0"/>
      </c:catAx>
      <c:valAx>
        <c:axId val="198920148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88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[Ankur_Chowdhury_JustLoan_Excel_Project_Data_Analysis.xlsx]Total Loan Amount!PivotTable1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Total Loan Amount by Loan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Loan Amount'!$B$3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20-4FC5-8E8C-BBC4D8BA2A9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BD69-45E2-B1FB-05BE9E2B9C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BD69-45E2-B1FB-05BE9E2B9CA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Loan Amount'!$A$4:$A$7</c:f>
              <c:strCache>
                <c:ptCount val="3"/>
                <c:pt idx="0">
                  <c:v>Car</c:v>
                </c:pt>
                <c:pt idx="1">
                  <c:v>Education</c:v>
                </c:pt>
                <c:pt idx="2">
                  <c:v>Personal</c:v>
                </c:pt>
              </c:strCache>
            </c:strRef>
          </c:cat>
          <c:val>
            <c:numRef>
              <c:f>'Total Loan Amount'!$B$4:$B$7</c:f>
              <c:numCache>
                <c:formatCode>[&gt;=1000000]0.0,,"M";[&gt;=1000]0,"K";0</c:formatCode>
                <c:ptCount val="3"/>
                <c:pt idx="0">
                  <c:v>271362116</c:v>
                </c:pt>
                <c:pt idx="1">
                  <c:v>271248158</c:v>
                </c:pt>
                <c:pt idx="2">
                  <c:v>279897271</c:v>
                </c:pt>
              </c:numCache>
            </c:numRef>
          </c:val>
          <c:extLst>
            <c:ext xmlns:c16="http://schemas.microsoft.com/office/drawing/2014/chart" uri="{C3380CC4-5D6E-409C-BE32-E72D297353CC}">
              <c16:uniqueId val="{00000000-BD69-45E2-B1FB-05BE9E2B9CA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[Ankur_Chowdhury_JustLoan_Excel_Project_Data_Analysis.xlsx]Sum of Loan amount by Dept!PivotTable2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Sum of Loan amount by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22679159293785E-2"/>
          <c:y val="0.18562523659570079"/>
          <c:w val="0.75798779287477192"/>
          <c:h val="0.66852533545902115"/>
        </c:manualLayout>
      </c:layout>
      <c:barChart>
        <c:barDir val="col"/>
        <c:grouping val="clustered"/>
        <c:varyColors val="0"/>
        <c:ser>
          <c:idx val="0"/>
          <c:order val="0"/>
          <c:tx>
            <c:strRef>
              <c:f>'Sum of Loan amount by Dept'!$B$3:$B$4</c:f>
              <c:strCache>
                <c:ptCount val="1"/>
                <c:pt idx="0">
                  <c:v>Finance - Director</c:v>
                </c:pt>
              </c:strCache>
            </c:strRef>
          </c:tx>
          <c:spPr>
            <a:solidFill>
              <a:schemeClr val="accent1"/>
            </a:solidFill>
            <a:ln>
              <a:noFill/>
            </a:ln>
            <a:effectLst/>
          </c:spPr>
          <c:invertIfNegative val="0"/>
          <c:cat>
            <c:strRef>
              <c:f>'Sum of Loan amount by Dept'!$A$5:$A$8</c:f>
              <c:strCache>
                <c:ptCount val="3"/>
                <c:pt idx="0">
                  <c:v>Car</c:v>
                </c:pt>
                <c:pt idx="1">
                  <c:v>Education</c:v>
                </c:pt>
                <c:pt idx="2">
                  <c:v>Personal</c:v>
                </c:pt>
              </c:strCache>
            </c:strRef>
          </c:cat>
          <c:val>
            <c:numRef>
              <c:f>'Sum of Loan amount by Dept'!$B$5:$B$8</c:f>
              <c:numCache>
                <c:formatCode>"₹"\ #,##0.00</c:formatCode>
                <c:ptCount val="3"/>
                <c:pt idx="0">
                  <c:v>12101333</c:v>
                </c:pt>
                <c:pt idx="1">
                  <c:v>18335575</c:v>
                </c:pt>
                <c:pt idx="2">
                  <c:v>8429355</c:v>
                </c:pt>
              </c:numCache>
            </c:numRef>
          </c:val>
          <c:extLst>
            <c:ext xmlns:c16="http://schemas.microsoft.com/office/drawing/2014/chart" uri="{C3380CC4-5D6E-409C-BE32-E72D297353CC}">
              <c16:uniqueId val="{00000000-A8D5-4307-9B6F-B59032C501CF}"/>
            </c:ext>
          </c:extLst>
        </c:ser>
        <c:ser>
          <c:idx val="1"/>
          <c:order val="1"/>
          <c:tx>
            <c:strRef>
              <c:f>'Sum of Loan amount by Dept'!$C$3:$C$4</c:f>
              <c:strCache>
                <c:ptCount val="1"/>
                <c:pt idx="0">
                  <c:v>Finance - Executive</c:v>
                </c:pt>
              </c:strCache>
            </c:strRef>
          </c:tx>
          <c:spPr>
            <a:solidFill>
              <a:schemeClr val="accent2"/>
            </a:solidFill>
            <a:ln>
              <a:noFill/>
            </a:ln>
            <a:effectLst/>
          </c:spPr>
          <c:invertIfNegative val="0"/>
          <c:cat>
            <c:strRef>
              <c:f>'Sum of Loan amount by Dept'!$A$5:$A$8</c:f>
              <c:strCache>
                <c:ptCount val="3"/>
                <c:pt idx="0">
                  <c:v>Car</c:v>
                </c:pt>
                <c:pt idx="1">
                  <c:v>Education</c:v>
                </c:pt>
                <c:pt idx="2">
                  <c:v>Personal</c:v>
                </c:pt>
              </c:strCache>
            </c:strRef>
          </c:cat>
          <c:val>
            <c:numRef>
              <c:f>'Sum of Loan amount by Dept'!$C$5:$C$8</c:f>
              <c:numCache>
                <c:formatCode>"₹"\ #,##0.00</c:formatCode>
                <c:ptCount val="3"/>
                <c:pt idx="0">
                  <c:v>15190119</c:v>
                </c:pt>
                <c:pt idx="1">
                  <c:v>11916463</c:v>
                </c:pt>
                <c:pt idx="2">
                  <c:v>9072157</c:v>
                </c:pt>
              </c:numCache>
            </c:numRef>
          </c:val>
          <c:extLst>
            <c:ext xmlns:c16="http://schemas.microsoft.com/office/drawing/2014/chart" uri="{C3380CC4-5D6E-409C-BE32-E72D297353CC}">
              <c16:uniqueId val="{00000065-FFE2-4922-BF35-FBBE5CB6B4FA}"/>
            </c:ext>
          </c:extLst>
        </c:ser>
        <c:ser>
          <c:idx val="2"/>
          <c:order val="2"/>
          <c:tx>
            <c:strRef>
              <c:f>'Sum of Loan amount by Dept'!$D$3:$D$4</c:f>
              <c:strCache>
                <c:ptCount val="1"/>
                <c:pt idx="0">
                  <c:v>Finance - Intern</c:v>
                </c:pt>
              </c:strCache>
            </c:strRef>
          </c:tx>
          <c:spPr>
            <a:solidFill>
              <a:schemeClr val="accent3"/>
            </a:solidFill>
            <a:ln>
              <a:noFill/>
            </a:ln>
            <a:effectLst/>
          </c:spPr>
          <c:invertIfNegative val="0"/>
          <c:cat>
            <c:strRef>
              <c:f>'Sum of Loan amount by Dept'!$A$5:$A$8</c:f>
              <c:strCache>
                <c:ptCount val="3"/>
                <c:pt idx="0">
                  <c:v>Car</c:v>
                </c:pt>
                <c:pt idx="1">
                  <c:v>Education</c:v>
                </c:pt>
                <c:pt idx="2">
                  <c:v>Personal</c:v>
                </c:pt>
              </c:strCache>
            </c:strRef>
          </c:cat>
          <c:val>
            <c:numRef>
              <c:f>'Sum of Loan amount by Dept'!$D$5:$D$8</c:f>
              <c:numCache>
                <c:formatCode>"₹"\ #,##0.00</c:formatCode>
                <c:ptCount val="3"/>
                <c:pt idx="0">
                  <c:v>10051040</c:v>
                </c:pt>
                <c:pt idx="1">
                  <c:v>10162217</c:v>
                </c:pt>
                <c:pt idx="2">
                  <c:v>9443818</c:v>
                </c:pt>
              </c:numCache>
            </c:numRef>
          </c:val>
          <c:extLst>
            <c:ext xmlns:c16="http://schemas.microsoft.com/office/drawing/2014/chart" uri="{C3380CC4-5D6E-409C-BE32-E72D297353CC}">
              <c16:uniqueId val="{00000066-FFE2-4922-BF35-FBBE5CB6B4FA}"/>
            </c:ext>
          </c:extLst>
        </c:ser>
        <c:ser>
          <c:idx val="3"/>
          <c:order val="3"/>
          <c:tx>
            <c:strRef>
              <c:f>'Sum of Loan amount by Dept'!$E$3:$E$4</c:f>
              <c:strCache>
                <c:ptCount val="1"/>
                <c:pt idx="0">
                  <c:v>Finance - Manager</c:v>
                </c:pt>
              </c:strCache>
            </c:strRef>
          </c:tx>
          <c:spPr>
            <a:solidFill>
              <a:schemeClr val="accent4"/>
            </a:solidFill>
            <a:ln>
              <a:noFill/>
            </a:ln>
            <a:effectLst/>
          </c:spPr>
          <c:invertIfNegative val="0"/>
          <c:cat>
            <c:strRef>
              <c:f>'Sum of Loan amount by Dept'!$A$5:$A$8</c:f>
              <c:strCache>
                <c:ptCount val="3"/>
                <c:pt idx="0">
                  <c:v>Car</c:v>
                </c:pt>
                <c:pt idx="1">
                  <c:v>Education</c:v>
                </c:pt>
                <c:pt idx="2">
                  <c:v>Personal</c:v>
                </c:pt>
              </c:strCache>
            </c:strRef>
          </c:cat>
          <c:val>
            <c:numRef>
              <c:f>'Sum of Loan amount by Dept'!$E$5:$E$8</c:f>
              <c:numCache>
                <c:formatCode>"₹"\ #,##0.00</c:formatCode>
                <c:ptCount val="3"/>
                <c:pt idx="0">
                  <c:v>8374266</c:v>
                </c:pt>
                <c:pt idx="1">
                  <c:v>13506588</c:v>
                </c:pt>
                <c:pt idx="2">
                  <c:v>14998935</c:v>
                </c:pt>
              </c:numCache>
            </c:numRef>
          </c:val>
          <c:extLst>
            <c:ext xmlns:c16="http://schemas.microsoft.com/office/drawing/2014/chart" uri="{C3380CC4-5D6E-409C-BE32-E72D297353CC}">
              <c16:uniqueId val="{00000067-FFE2-4922-BF35-FBBE5CB6B4FA}"/>
            </c:ext>
          </c:extLst>
        </c:ser>
        <c:ser>
          <c:idx val="4"/>
          <c:order val="4"/>
          <c:tx>
            <c:strRef>
              <c:f>'Sum of Loan amount by Dept'!$F$3:$F$4</c:f>
              <c:strCache>
                <c:ptCount val="1"/>
                <c:pt idx="0">
                  <c:v>Growth - Director</c:v>
                </c:pt>
              </c:strCache>
            </c:strRef>
          </c:tx>
          <c:spPr>
            <a:solidFill>
              <a:schemeClr val="accent5"/>
            </a:solidFill>
            <a:ln>
              <a:noFill/>
            </a:ln>
            <a:effectLst/>
          </c:spPr>
          <c:invertIfNegative val="0"/>
          <c:cat>
            <c:strRef>
              <c:f>'Sum of Loan amount by Dept'!$A$5:$A$8</c:f>
              <c:strCache>
                <c:ptCount val="3"/>
                <c:pt idx="0">
                  <c:v>Car</c:v>
                </c:pt>
                <c:pt idx="1">
                  <c:v>Education</c:v>
                </c:pt>
                <c:pt idx="2">
                  <c:v>Personal</c:v>
                </c:pt>
              </c:strCache>
            </c:strRef>
          </c:cat>
          <c:val>
            <c:numRef>
              <c:f>'Sum of Loan amount by Dept'!$F$5:$F$8</c:f>
              <c:numCache>
                <c:formatCode>"₹"\ #,##0.00</c:formatCode>
                <c:ptCount val="3"/>
                <c:pt idx="0">
                  <c:v>14034986</c:v>
                </c:pt>
                <c:pt idx="1">
                  <c:v>16928687</c:v>
                </c:pt>
                <c:pt idx="2">
                  <c:v>13751849</c:v>
                </c:pt>
              </c:numCache>
            </c:numRef>
          </c:val>
          <c:extLst>
            <c:ext xmlns:c16="http://schemas.microsoft.com/office/drawing/2014/chart" uri="{C3380CC4-5D6E-409C-BE32-E72D297353CC}">
              <c16:uniqueId val="{00000068-FFE2-4922-BF35-FBBE5CB6B4FA}"/>
            </c:ext>
          </c:extLst>
        </c:ser>
        <c:ser>
          <c:idx val="5"/>
          <c:order val="5"/>
          <c:tx>
            <c:strRef>
              <c:f>'Sum of Loan amount by Dept'!$G$3:$G$4</c:f>
              <c:strCache>
                <c:ptCount val="1"/>
                <c:pt idx="0">
                  <c:v>Growth - Executive</c:v>
                </c:pt>
              </c:strCache>
            </c:strRef>
          </c:tx>
          <c:spPr>
            <a:solidFill>
              <a:schemeClr val="accent6"/>
            </a:solidFill>
            <a:ln>
              <a:noFill/>
            </a:ln>
            <a:effectLst/>
          </c:spPr>
          <c:invertIfNegative val="0"/>
          <c:cat>
            <c:strRef>
              <c:f>'Sum of Loan amount by Dept'!$A$5:$A$8</c:f>
              <c:strCache>
                <c:ptCount val="3"/>
                <c:pt idx="0">
                  <c:v>Car</c:v>
                </c:pt>
                <c:pt idx="1">
                  <c:v>Education</c:v>
                </c:pt>
                <c:pt idx="2">
                  <c:v>Personal</c:v>
                </c:pt>
              </c:strCache>
            </c:strRef>
          </c:cat>
          <c:val>
            <c:numRef>
              <c:f>'Sum of Loan amount by Dept'!$G$5:$G$8</c:f>
              <c:numCache>
                <c:formatCode>"₹"\ #,##0.00</c:formatCode>
                <c:ptCount val="3"/>
                <c:pt idx="0">
                  <c:v>7815312</c:v>
                </c:pt>
                <c:pt idx="1">
                  <c:v>11750690</c:v>
                </c:pt>
                <c:pt idx="2">
                  <c:v>7721195</c:v>
                </c:pt>
              </c:numCache>
            </c:numRef>
          </c:val>
          <c:extLst>
            <c:ext xmlns:c16="http://schemas.microsoft.com/office/drawing/2014/chart" uri="{C3380CC4-5D6E-409C-BE32-E72D297353CC}">
              <c16:uniqueId val="{00000069-FFE2-4922-BF35-FBBE5CB6B4FA}"/>
            </c:ext>
          </c:extLst>
        </c:ser>
        <c:ser>
          <c:idx val="6"/>
          <c:order val="6"/>
          <c:tx>
            <c:strRef>
              <c:f>'Sum of Loan amount by Dept'!$H$3:$H$4</c:f>
              <c:strCache>
                <c:ptCount val="1"/>
                <c:pt idx="0">
                  <c:v>Growth - Intern</c:v>
                </c:pt>
              </c:strCache>
            </c:strRef>
          </c:tx>
          <c:spPr>
            <a:solidFill>
              <a:schemeClr val="accent1">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Dept'!$H$5:$H$8</c:f>
              <c:numCache>
                <c:formatCode>"₹"\ #,##0.00</c:formatCode>
                <c:ptCount val="3"/>
                <c:pt idx="0">
                  <c:v>15070883</c:v>
                </c:pt>
                <c:pt idx="1">
                  <c:v>8481360</c:v>
                </c:pt>
                <c:pt idx="2">
                  <c:v>14295387</c:v>
                </c:pt>
              </c:numCache>
            </c:numRef>
          </c:val>
          <c:extLst>
            <c:ext xmlns:c16="http://schemas.microsoft.com/office/drawing/2014/chart" uri="{C3380CC4-5D6E-409C-BE32-E72D297353CC}">
              <c16:uniqueId val="{0000006A-FFE2-4922-BF35-FBBE5CB6B4FA}"/>
            </c:ext>
          </c:extLst>
        </c:ser>
        <c:ser>
          <c:idx val="7"/>
          <c:order val="7"/>
          <c:tx>
            <c:strRef>
              <c:f>'Sum of Loan amount by Dept'!$I$3:$I$4</c:f>
              <c:strCache>
                <c:ptCount val="1"/>
                <c:pt idx="0">
                  <c:v>Growth - Manager</c:v>
                </c:pt>
              </c:strCache>
            </c:strRef>
          </c:tx>
          <c:spPr>
            <a:solidFill>
              <a:schemeClr val="accent2">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Dept'!$I$5:$I$8</c:f>
              <c:numCache>
                <c:formatCode>"₹"\ #,##0.00</c:formatCode>
                <c:ptCount val="3"/>
                <c:pt idx="0">
                  <c:v>9476785</c:v>
                </c:pt>
                <c:pt idx="1">
                  <c:v>10653695</c:v>
                </c:pt>
                <c:pt idx="2">
                  <c:v>14838209</c:v>
                </c:pt>
              </c:numCache>
            </c:numRef>
          </c:val>
          <c:extLst>
            <c:ext xmlns:c16="http://schemas.microsoft.com/office/drawing/2014/chart" uri="{C3380CC4-5D6E-409C-BE32-E72D297353CC}">
              <c16:uniqueId val="{0000006B-FFE2-4922-BF35-FBBE5CB6B4FA}"/>
            </c:ext>
          </c:extLst>
        </c:ser>
        <c:ser>
          <c:idx val="8"/>
          <c:order val="8"/>
          <c:tx>
            <c:strRef>
              <c:f>'Sum of Loan amount by Dept'!$J$3:$J$4</c:f>
              <c:strCache>
                <c:ptCount val="1"/>
                <c:pt idx="0">
                  <c:v>Marketing - Director</c:v>
                </c:pt>
              </c:strCache>
            </c:strRef>
          </c:tx>
          <c:spPr>
            <a:solidFill>
              <a:schemeClr val="accent3">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Dept'!$J$5:$J$8</c:f>
              <c:numCache>
                <c:formatCode>"₹"\ #,##0.00</c:formatCode>
                <c:ptCount val="3"/>
                <c:pt idx="0">
                  <c:v>14258317</c:v>
                </c:pt>
                <c:pt idx="1">
                  <c:v>10508474</c:v>
                </c:pt>
                <c:pt idx="2">
                  <c:v>13596281</c:v>
                </c:pt>
              </c:numCache>
            </c:numRef>
          </c:val>
          <c:extLst>
            <c:ext xmlns:c16="http://schemas.microsoft.com/office/drawing/2014/chart" uri="{C3380CC4-5D6E-409C-BE32-E72D297353CC}">
              <c16:uniqueId val="{0000006C-FFE2-4922-BF35-FBBE5CB6B4FA}"/>
            </c:ext>
          </c:extLst>
        </c:ser>
        <c:ser>
          <c:idx val="9"/>
          <c:order val="9"/>
          <c:tx>
            <c:strRef>
              <c:f>'Sum of Loan amount by Dept'!$K$3:$K$4</c:f>
              <c:strCache>
                <c:ptCount val="1"/>
                <c:pt idx="0">
                  <c:v>Marketing - Executive</c:v>
                </c:pt>
              </c:strCache>
            </c:strRef>
          </c:tx>
          <c:spPr>
            <a:solidFill>
              <a:schemeClr val="accent4">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Dept'!$K$5:$K$8</c:f>
              <c:numCache>
                <c:formatCode>"₹"\ #,##0.00</c:formatCode>
                <c:ptCount val="3"/>
                <c:pt idx="0">
                  <c:v>10566762</c:v>
                </c:pt>
                <c:pt idx="1">
                  <c:v>14676321</c:v>
                </c:pt>
                <c:pt idx="2">
                  <c:v>13206569</c:v>
                </c:pt>
              </c:numCache>
            </c:numRef>
          </c:val>
          <c:extLst>
            <c:ext xmlns:c16="http://schemas.microsoft.com/office/drawing/2014/chart" uri="{C3380CC4-5D6E-409C-BE32-E72D297353CC}">
              <c16:uniqueId val="{0000006D-FFE2-4922-BF35-FBBE5CB6B4FA}"/>
            </c:ext>
          </c:extLst>
        </c:ser>
        <c:ser>
          <c:idx val="10"/>
          <c:order val="10"/>
          <c:tx>
            <c:strRef>
              <c:f>'Sum of Loan amount by Dept'!$L$3:$L$4</c:f>
              <c:strCache>
                <c:ptCount val="1"/>
                <c:pt idx="0">
                  <c:v>Marketing - Intern</c:v>
                </c:pt>
              </c:strCache>
            </c:strRef>
          </c:tx>
          <c:spPr>
            <a:solidFill>
              <a:schemeClr val="accent5">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Dept'!$L$5:$L$8</c:f>
              <c:numCache>
                <c:formatCode>"₹"\ #,##0.00</c:formatCode>
                <c:ptCount val="3"/>
                <c:pt idx="0">
                  <c:v>9602690</c:v>
                </c:pt>
                <c:pt idx="1">
                  <c:v>9090328</c:v>
                </c:pt>
                <c:pt idx="2">
                  <c:v>12040914</c:v>
                </c:pt>
              </c:numCache>
            </c:numRef>
          </c:val>
          <c:extLst>
            <c:ext xmlns:c16="http://schemas.microsoft.com/office/drawing/2014/chart" uri="{C3380CC4-5D6E-409C-BE32-E72D297353CC}">
              <c16:uniqueId val="{0000006E-FFE2-4922-BF35-FBBE5CB6B4FA}"/>
            </c:ext>
          </c:extLst>
        </c:ser>
        <c:ser>
          <c:idx val="11"/>
          <c:order val="11"/>
          <c:tx>
            <c:strRef>
              <c:f>'Sum of Loan amount by Dept'!$M$3:$M$4</c:f>
              <c:strCache>
                <c:ptCount val="1"/>
                <c:pt idx="0">
                  <c:v>Marketing - Manager</c:v>
                </c:pt>
              </c:strCache>
            </c:strRef>
          </c:tx>
          <c:spPr>
            <a:solidFill>
              <a:schemeClr val="accent6">
                <a:lumMod val="6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Dept'!$M$5:$M$8</c:f>
              <c:numCache>
                <c:formatCode>"₹"\ #,##0.00</c:formatCode>
                <c:ptCount val="3"/>
                <c:pt idx="0">
                  <c:v>14784240</c:v>
                </c:pt>
                <c:pt idx="1">
                  <c:v>13432979</c:v>
                </c:pt>
                <c:pt idx="2">
                  <c:v>11760155</c:v>
                </c:pt>
              </c:numCache>
            </c:numRef>
          </c:val>
          <c:extLst>
            <c:ext xmlns:c16="http://schemas.microsoft.com/office/drawing/2014/chart" uri="{C3380CC4-5D6E-409C-BE32-E72D297353CC}">
              <c16:uniqueId val="{0000006F-FFE2-4922-BF35-FBBE5CB6B4FA}"/>
            </c:ext>
          </c:extLst>
        </c:ser>
        <c:ser>
          <c:idx val="12"/>
          <c:order val="12"/>
          <c:tx>
            <c:strRef>
              <c:f>'Sum of Loan amount by Dept'!$N$3:$N$4</c:f>
              <c:strCache>
                <c:ptCount val="1"/>
                <c:pt idx="0">
                  <c:v>Operation - Director</c:v>
                </c:pt>
              </c:strCache>
            </c:strRef>
          </c:tx>
          <c:spPr>
            <a:solidFill>
              <a:schemeClr val="accent1">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Dept'!$N$5:$N$8</c:f>
              <c:numCache>
                <c:formatCode>"₹"\ #,##0.00</c:formatCode>
                <c:ptCount val="3"/>
                <c:pt idx="0">
                  <c:v>14473092</c:v>
                </c:pt>
                <c:pt idx="1">
                  <c:v>7376791</c:v>
                </c:pt>
                <c:pt idx="2">
                  <c:v>9252547</c:v>
                </c:pt>
              </c:numCache>
            </c:numRef>
          </c:val>
          <c:extLst>
            <c:ext xmlns:c16="http://schemas.microsoft.com/office/drawing/2014/chart" uri="{C3380CC4-5D6E-409C-BE32-E72D297353CC}">
              <c16:uniqueId val="{00000070-FFE2-4922-BF35-FBBE5CB6B4FA}"/>
            </c:ext>
          </c:extLst>
        </c:ser>
        <c:ser>
          <c:idx val="13"/>
          <c:order val="13"/>
          <c:tx>
            <c:strRef>
              <c:f>'Sum of Loan amount by Dept'!$O$3:$O$4</c:f>
              <c:strCache>
                <c:ptCount val="1"/>
                <c:pt idx="0">
                  <c:v>Operation - Executive</c:v>
                </c:pt>
              </c:strCache>
            </c:strRef>
          </c:tx>
          <c:spPr>
            <a:solidFill>
              <a:schemeClr val="accent2">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Dept'!$O$5:$O$8</c:f>
              <c:numCache>
                <c:formatCode>"₹"\ #,##0.00</c:formatCode>
                <c:ptCount val="3"/>
                <c:pt idx="0">
                  <c:v>7793513</c:v>
                </c:pt>
                <c:pt idx="1">
                  <c:v>12859275</c:v>
                </c:pt>
                <c:pt idx="2">
                  <c:v>12700398</c:v>
                </c:pt>
              </c:numCache>
            </c:numRef>
          </c:val>
          <c:extLst>
            <c:ext xmlns:c16="http://schemas.microsoft.com/office/drawing/2014/chart" uri="{C3380CC4-5D6E-409C-BE32-E72D297353CC}">
              <c16:uniqueId val="{00000071-FFE2-4922-BF35-FBBE5CB6B4FA}"/>
            </c:ext>
          </c:extLst>
        </c:ser>
        <c:ser>
          <c:idx val="14"/>
          <c:order val="14"/>
          <c:tx>
            <c:strRef>
              <c:f>'Sum of Loan amount by Dept'!$P$3:$P$4</c:f>
              <c:strCache>
                <c:ptCount val="1"/>
                <c:pt idx="0">
                  <c:v>Operation - Intern</c:v>
                </c:pt>
              </c:strCache>
            </c:strRef>
          </c:tx>
          <c:spPr>
            <a:solidFill>
              <a:schemeClr val="accent3">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Dept'!$P$5:$P$8</c:f>
              <c:numCache>
                <c:formatCode>"₹"\ #,##0.00</c:formatCode>
                <c:ptCount val="3"/>
                <c:pt idx="0">
                  <c:v>9996545</c:v>
                </c:pt>
                <c:pt idx="1">
                  <c:v>7667493</c:v>
                </c:pt>
                <c:pt idx="2">
                  <c:v>10410583</c:v>
                </c:pt>
              </c:numCache>
            </c:numRef>
          </c:val>
          <c:extLst>
            <c:ext xmlns:c16="http://schemas.microsoft.com/office/drawing/2014/chart" uri="{C3380CC4-5D6E-409C-BE32-E72D297353CC}">
              <c16:uniqueId val="{00000072-FFE2-4922-BF35-FBBE5CB6B4FA}"/>
            </c:ext>
          </c:extLst>
        </c:ser>
        <c:ser>
          <c:idx val="15"/>
          <c:order val="15"/>
          <c:tx>
            <c:strRef>
              <c:f>'Sum of Loan amount by Dept'!$Q$3:$Q$4</c:f>
              <c:strCache>
                <c:ptCount val="1"/>
                <c:pt idx="0">
                  <c:v>Operation - Manager</c:v>
                </c:pt>
              </c:strCache>
            </c:strRef>
          </c:tx>
          <c:spPr>
            <a:solidFill>
              <a:schemeClr val="accent4">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Dept'!$Q$5:$Q$8</c:f>
              <c:numCache>
                <c:formatCode>"₹"\ #,##0.00</c:formatCode>
                <c:ptCount val="3"/>
                <c:pt idx="0">
                  <c:v>11084996</c:v>
                </c:pt>
                <c:pt idx="1">
                  <c:v>8716008</c:v>
                </c:pt>
                <c:pt idx="2">
                  <c:v>19950348</c:v>
                </c:pt>
              </c:numCache>
            </c:numRef>
          </c:val>
          <c:extLst>
            <c:ext xmlns:c16="http://schemas.microsoft.com/office/drawing/2014/chart" uri="{C3380CC4-5D6E-409C-BE32-E72D297353CC}">
              <c16:uniqueId val="{00000073-FFE2-4922-BF35-FBBE5CB6B4FA}"/>
            </c:ext>
          </c:extLst>
        </c:ser>
        <c:ser>
          <c:idx val="16"/>
          <c:order val="16"/>
          <c:tx>
            <c:strRef>
              <c:f>'Sum of Loan amount by Dept'!$R$3:$R$4</c:f>
              <c:strCache>
                <c:ptCount val="1"/>
                <c:pt idx="0">
                  <c:v>Sales - Director</c:v>
                </c:pt>
              </c:strCache>
            </c:strRef>
          </c:tx>
          <c:spPr>
            <a:solidFill>
              <a:schemeClr val="accent5">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Dept'!$R$5:$R$8</c:f>
              <c:numCache>
                <c:formatCode>"₹"\ #,##0.00</c:formatCode>
                <c:ptCount val="3"/>
                <c:pt idx="0">
                  <c:v>14726663</c:v>
                </c:pt>
                <c:pt idx="1">
                  <c:v>11140692</c:v>
                </c:pt>
                <c:pt idx="2">
                  <c:v>6528224</c:v>
                </c:pt>
              </c:numCache>
            </c:numRef>
          </c:val>
          <c:extLst>
            <c:ext xmlns:c16="http://schemas.microsoft.com/office/drawing/2014/chart" uri="{C3380CC4-5D6E-409C-BE32-E72D297353CC}">
              <c16:uniqueId val="{00000074-FFE2-4922-BF35-FBBE5CB6B4FA}"/>
            </c:ext>
          </c:extLst>
        </c:ser>
        <c:ser>
          <c:idx val="17"/>
          <c:order val="17"/>
          <c:tx>
            <c:strRef>
              <c:f>'Sum of Loan amount by Dept'!$S$3:$S$4</c:f>
              <c:strCache>
                <c:ptCount val="1"/>
                <c:pt idx="0">
                  <c:v>Sales - Executive</c:v>
                </c:pt>
              </c:strCache>
            </c:strRef>
          </c:tx>
          <c:spPr>
            <a:solidFill>
              <a:schemeClr val="accent6">
                <a:lumMod val="80000"/>
                <a:lumOff val="2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Dept'!$S$5:$S$8</c:f>
              <c:numCache>
                <c:formatCode>"₹"\ #,##0.00</c:formatCode>
                <c:ptCount val="3"/>
                <c:pt idx="0">
                  <c:v>7103470</c:v>
                </c:pt>
                <c:pt idx="1">
                  <c:v>11580522</c:v>
                </c:pt>
                <c:pt idx="2">
                  <c:v>13220420</c:v>
                </c:pt>
              </c:numCache>
            </c:numRef>
          </c:val>
          <c:extLst>
            <c:ext xmlns:c16="http://schemas.microsoft.com/office/drawing/2014/chart" uri="{C3380CC4-5D6E-409C-BE32-E72D297353CC}">
              <c16:uniqueId val="{00000075-FFE2-4922-BF35-FBBE5CB6B4FA}"/>
            </c:ext>
          </c:extLst>
        </c:ser>
        <c:ser>
          <c:idx val="18"/>
          <c:order val="18"/>
          <c:tx>
            <c:strRef>
              <c:f>'Sum of Loan amount by Dept'!$T$3:$T$4</c:f>
              <c:strCache>
                <c:ptCount val="1"/>
                <c:pt idx="0">
                  <c:v>Sales - Intern</c:v>
                </c:pt>
              </c:strCache>
            </c:strRef>
          </c:tx>
          <c:spPr>
            <a:solidFill>
              <a:schemeClr val="accent1">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Dept'!$T$5:$T$8</c:f>
              <c:numCache>
                <c:formatCode>"₹"\ #,##0.00</c:formatCode>
                <c:ptCount val="3"/>
                <c:pt idx="0">
                  <c:v>9231323</c:v>
                </c:pt>
                <c:pt idx="1">
                  <c:v>6594664</c:v>
                </c:pt>
                <c:pt idx="2">
                  <c:v>16508096</c:v>
                </c:pt>
              </c:numCache>
            </c:numRef>
          </c:val>
          <c:extLst>
            <c:ext xmlns:c16="http://schemas.microsoft.com/office/drawing/2014/chart" uri="{C3380CC4-5D6E-409C-BE32-E72D297353CC}">
              <c16:uniqueId val="{00000076-FFE2-4922-BF35-FBBE5CB6B4FA}"/>
            </c:ext>
          </c:extLst>
        </c:ser>
        <c:ser>
          <c:idx val="19"/>
          <c:order val="19"/>
          <c:tx>
            <c:strRef>
              <c:f>'Sum of Loan amount by Dept'!$U$3:$U$4</c:f>
              <c:strCache>
                <c:ptCount val="1"/>
                <c:pt idx="0">
                  <c:v>Sales - Manager</c:v>
                </c:pt>
              </c:strCache>
            </c:strRef>
          </c:tx>
          <c:spPr>
            <a:solidFill>
              <a:schemeClr val="accent2">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Dept'!$U$5:$U$8</c:f>
              <c:numCache>
                <c:formatCode>"₹"\ #,##0.00</c:formatCode>
                <c:ptCount val="3"/>
                <c:pt idx="0">
                  <c:v>11463189</c:v>
                </c:pt>
                <c:pt idx="1">
                  <c:v>10451008</c:v>
                </c:pt>
                <c:pt idx="2">
                  <c:v>12827132</c:v>
                </c:pt>
              </c:numCache>
            </c:numRef>
          </c:val>
          <c:extLst>
            <c:ext xmlns:c16="http://schemas.microsoft.com/office/drawing/2014/chart" uri="{C3380CC4-5D6E-409C-BE32-E72D297353CC}">
              <c16:uniqueId val="{00000077-FFE2-4922-BF35-FBBE5CB6B4FA}"/>
            </c:ext>
          </c:extLst>
        </c:ser>
        <c:ser>
          <c:idx val="20"/>
          <c:order val="20"/>
          <c:tx>
            <c:strRef>
              <c:f>'Sum of Loan amount by Dept'!$V$3:$V$4</c:f>
              <c:strCache>
                <c:ptCount val="1"/>
                <c:pt idx="0">
                  <c:v>Strategy - Director</c:v>
                </c:pt>
              </c:strCache>
            </c:strRef>
          </c:tx>
          <c:spPr>
            <a:solidFill>
              <a:schemeClr val="accent3">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Dept'!$V$5:$V$8</c:f>
              <c:numCache>
                <c:formatCode>"₹"\ #,##0.00</c:formatCode>
                <c:ptCount val="3"/>
                <c:pt idx="0">
                  <c:v>11420746</c:v>
                </c:pt>
                <c:pt idx="1">
                  <c:v>7698976</c:v>
                </c:pt>
                <c:pt idx="2">
                  <c:v>8614805</c:v>
                </c:pt>
              </c:numCache>
            </c:numRef>
          </c:val>
          <c:extLst>
            <c:ext xmlns:c16="http://schemas.microsoft.com/office/drawing/2014/chart" uri="{C3380CC4-5D6E-409C-BE32-E72D297353CC}">
              <c16:uniqueId val="{00000078-FFE2-4922-BF35-FBBE5CB6B4FA}"/>
            </c:ext>
          </c:extLst>
        </c:ser>
        <c:ser>
          <c:idx val="21"/>
          <c:order val="21"/>
          <c:tx>
            <c:strRef>
              <c:f>'Sum of Loan amount by Dept'!$W$3:$W$4</c:f>
              <c:strCache>
                <c:ptCount val="1"/>
                <c:pt idx="0">
                  <c:v>Strategy - Executive</c:v>
                </c:pt>
              </c:strCache>
            </c:strRef>
          </c:tx>
          <c:spPr>
            <a:solidFill>
              <a:schemeClr val="accent4">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Dept'!$W$5:$W$8</c:f>
              <c:numCache>
                <c:formatCode>"₹"\ #,##0.00</c:formatCode>
                <c:ptCount val="3"/>
                <c:pt idx="0">
                  <c:v>11125345</c:v>
                </c:pt>
                <c:pt idx="1">
                  <c:v>10375753</c:v>
                </c:pt>
                <c:pt idx="2">
                  <c:v>12003093</c:v>
                </c:pt>
              </c:numCache>
            </c:numRef>
          </c:val>
          <c:extLst>
            <c:ext xmlns:c16="http://schemas.microsoft.com/office/drawing/2014/chart" uri="{C3380CC4-5D6E-409C-BE32-E72D297353CC}">
              <c16:uniqueId val="{00000079-FFE2-4922-BF35-FBBE5CB6B4FA}"/>
            </c:ext>
          </c:extLst>
        </c:ser>
        <c:ser>
          <c:idx val="22"/>
          <c:order val="22"/>
          <c:tx>
            <c:strRef>
              <c:f>'Sum of Loan amount by Dept'!$X$3:$X$4</c:f>
              <c:strCache>
                <c:ptCount val="1"/>
                <c:pt idx="0">
                  <c:v>Strategy - Intern</c:v>
                </c:pt>
              </c:strCache>
            </c:strRef>
          </c:tx>
          <c:spPr>
            <a:solidFill>
              <a:schemeClr val="accent5">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Dept'!$X$5:$X$8</c:f>
              <c:numCache>
                <c:formatCode>"₹"\ #,##0.00</c:formatCode>
                <c:ptCount val="3"/>
                <c:pt idx="0">
                  <c:v>8495327</c:v>
                </c:pt>
                <c:pt idx="1">
                  <c:v>14199637</c:v>
                </c:pt>
                <c:pt idx="2">
                  <c:v>7476046</c:v>
                </c:pt>
              </c:numCache>
            </c:numRef>
          </c:val>
          <c:extLst>
            <c:ext xmlns:c16="http://schemas.microsoft.com/office/drawing/2014/chart" uri="{C3380CC4-5D6E-409C-BE32-E72D297353CC}">
              <c16:uniqueId val="{0000007A-FFE2-4922-BF35-FBBE5CB6B4FA}"/>
            </c:ext>
          </c:extLst>
        </c:ser>
        <c:ser>
          <c:idx val="23"/>
          <c:order val="23"/>
          <c:tx>
            <c:strRef>
              <c:f>'Sum of Loan amount by Dept'!$Y$3:$Y$4</c:f>
              <c:strCache>
                <c:ptCount val="1"/>
                <c:pt idx="0">
                  <c:v>Strategy - Manager</c:v>
                </c:pt>
              </c:strCache>
            </c:strRef>
          </c:tx>
          <c:spPr>
            <a:solidFill>
              <a:schemeClr val="accent6">
                <a:lumMod val="80000"/>
              </a:schemeClr>
            </a:solidFill>
            <a:ln>
              <a:noFill/>
            </a:ln>
            <a:effectLst/>
          </c:spPr>
          <c:invertIfNegative val="0"/>
          <c:cat>
            <c:strRef>
              <c:f>'Sum of Loan amount by Dept'!$A$5:$A$8</c:f>
              <c:strCache>
                <c:ptCount val="3"/>
                <c:pt idx="0">
                  <c:v>Car</c:v>
                </c:pt>
                <c:pt idx="1">
                  <c:v>Education</c:v>
                </c:pt>
                <c:pt idx="2">
                  <c:v>Personal</c:v>
                </c:pt>
              </c:strCache>
            </c:strRef>
          </c:cat>
          <c:val>
            <c:numRef>
              <c:f>'Sum of Loan amount by Dept'!$Y$5:$Y$8</c:f>
              <c:numCache>
                <c:formatCode>"₹"\ #,##0.00</c:formatCode>
                <c:ptCount val="3"/>
                <c:pt idx="0">
                  <c:v>13121174</c:v>
                </c:pt>
                <c:pt idx="1">
                  <c:v>13143962</c:v>
                </c:pt>
                <c:pt idx="2">
                  <c:v>7250755</c:v>
                </c:pt>
              </c:numCache>
            </c:numRef>
          </c:val>
          <c:extLst>
            <c:ext xmlns:c16="http://schemas.microsoft.com/office/drawing/2014/chart" uri="{C3380CC4-5D6E-409C-BE32-E72D297353CC}">
              <c16:uniqueId val="{0000007B-FFE2-4922-BF35-FBBE5CB6B4FA}"/>
            </c:ext>
          </c:extLst>
        </c:ser>
        <c:dLbls>
          <c:showLegendKey val="0"/>
          <c:showVal val="0"/>
          <c:showCatName val="0"/>
          <c:showSerName val="0"/>
          <c:showPercent val="0"/>
          <c:showBubbleSize val="0"/>
        </c:dLbls>
        <c:gapWidth val="219"/>
        <c:overlap val="-27"/>
        <c:axId val="107388064"/>
        <c:axId val="107385664"/>
      </c:barChart>
      <c:catAx>
        <c:axId val="10738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5664"/>
        <c:crosses val="autoZero"/>
        <c:auto val="1"/>
        <c:lblAlgn val="ctr"/>
        <c:lblOffset val="100"/>
        <c:noMultiLvlLbl val="0"/>
      </c:catAx>
      <c:valAx>
        <c:axId val="107385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[Ankur_Chowdhury_JustLoan_Excel_Project_Data_Analysis.xlsx]Avg of Credit Score!PivotTable3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of Credit Score per</a:t>
            </a:r>
            <a:r>
              <a:rPr lang="en-US" b="1" baseline="0"/>
              <a:t> Department - Designation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'Avg of Credit Score'!$B$3</c:f>
              <c:strCache>
                <c:ptCount val="1"/>
                <c:pt idx="0">
                  <c:v>Total</c:v>
                </c:pt>
              </c:strCache>
            </c:strRef>
          </c:tx>
          <c:spPr>
            <a:solidFill>
              <a:schemeClr val="accent1"/>
            </a:solidFill>
            <a:ln>
              <a:noFill/>
            </a:ln>
            <a:effectLst/>
            <a:sp3d/>
          </c:spPr>
          <c:invertIfNegative val="0"/>
          <c:cat>
            <c:strRef>
              <c:f>'Avg of Credit Score'!$A$4:$A$28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Credit Score'!$B$4:$B$28</c:f>
              <c:numCache>
                <c:formatCode>General</c:formatCode>
                <c:ptCount val="24"/>
                <c:pt idx="0">
                  <c:v>746.05882352941171</c:v>
                </c:pt>
                <c:pt idx="1">
                  <c:v>742.54</c:v>
                </c:pt>
                <c:pt idx="2">
                  <c:v>746.81081081081084</c:v>
                </c:pt>
                <c:pt idx="3">
                  <c:v>751.8</c:v>
                </c:pt>
                <c:pt idx="4">
                  <c:v>750.77966101694915</c:v>
                </c:pt>
                <c:pt idx="5">
                  <c:v>749.02631578947364</c:v>
                </c:pt>
                <c:pt idx="6">
                  <c:v>752</c:v>
                </c:pt>
                <c:pt idx="7">
                  <c:v>750.60869565217388</c:v>
                </c:pt>
                <c:pt idx="8">
                  <c:v>752.94117647058829</c:v>
                </c:pt>
                <c:pt idx="9">
                  <c:v>756.1960784313726</c:v>
                </c:pt>
                <c:pt idx="10">
                  <c:v>753.73170731707319</c:v>
                </c:pt>
                <c:pt idx="11">
                  <c:v>746.88235294117646</c:v>
                </c:pt>
                <c:pt idx="12">
                  <c:v>750</c:v>
                </c:pt>
                <c:pt idx="13">
                  <c:v>747.4545454545455</c:v>
                </c:pt>
                <c:pt idx="14">
                  <c:v>752.59459459459458</c:v>
                </c:pt>
                <c:pt idx="15">
                  <c:v>748.75471698113211</c:v>
                </c:pt>
                <c:pt idx="16">
                  <c:v>753.24444444444441</c:v>
                </c:pt>
                <c:pt idx="17">
                  <c:v>751</c:v>
                </c:pt>
                <c:pt idx="18">
                  <c:v>741.09523809523807</c:v>
                </c:pt>
                <c:pt idx="19">
                  <c:v>738.95555555555552</c:v>
                </c:pt>
                <c:pt idx="20">
                  <c:v>748.20512820512818</c:v>
                </c:pt>
                <c:pt idx="21">
                  <c:v>748.22727272727275</c:v>
                </c:pt>
                <c:pt idx="22">
                  <c:v>750.84615384615381</c:v>
                </c:pt>
                <c:pt idx="23">
                  <c:v>746.54347826086962</c:v>
                </c:pt>
              </c:numCache>
            </c:numRef>
          </c:val>
          <c:extLst>
            <c:ext xmlns:c16="http://schemas.microsoft.com/office/drawing/2014/chart" uri="{C3380CC4-5D6E-409C-BE32-E72D297353CC}">
              <c16:uniqueId val="{00000000-19F4-48B3-A3AB-D8A45588AECF}"/>
            </c:ext>
          </c:extLst>
        </c:ser>
        <c:dLbls>
          <c:showLegendKey val="0"/>
          <c:showVal val="0"/>
          <c:showCatName val="0"/>
          <c:showSerName val="0"/>
          <c:showPercent val="0"/>
          <c:showBubbleSize val="0"/>
        </c:dLbls>
        <c:gapWidth val="150"/>
        <c:shape val="box"/>
        <c:axId val="2107522960"/>
        <c:axId val="2107525840"/>
        <c:axId val="0"/>
      </c:bar3DChart>
      <c:catAx>
        <c:axId val="2107522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25840"/>
        <c:crosses val="autoZero"/>
        <c:auto val="1"/>
        <c:lblAlgn val="ctr"/>
        <c:lblOffset val="100"/>
        <c:noMultiLvlLbl val="0"/>
      </c:catAx>
      <c:valAx>
        <c:axId val="210752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52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[Ankur_Chowdhury_JustLoan_Excel_Project_Data_Analysis.xlsx]Avg of Default Rate!PivotTable1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Sum of Past Loans and Defaults vs Default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Default Rate'!$B$3</c:f>
              <c:strCache>
                <c:ptCount val="1"/>
                <c:pt idx="0">
                  <c:v>Sum of Past Loans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Rate'!$B$4:$B$28</c:f>
              <c:numCache>
                <c:formatCode>General</c:formatCode>
                <c:ptCount val="24"/>
                <c:pt idx="0">
                  <c:v>142</c:v>
                </c:pt>
                <c:pt idx="1">
                  <c:v>156</c:v>
                </c:pt>
                <c:pt idx="2">
                  <c:v>106</c:v>
                </c:pt>
                <c:pt idx="3">
                  <c:v>146</c:v>
                </c:pt>
                <c:pt idx="4">
                  <c:v>182</c:v>
                </c:pt>
                <c:pt idx="5">
                  <c:v>111</c:v>
                </c:pt>
                <c:pt idx="6">
                  <c:v>155</c:v>
                </c:pt>
                <c:pt idx="7">
                  <c:v>141</c:v>
                </c:pt>
                <c:pt idx="8">
                  <c:v>153</c:v>
                </c:pt>
                <c:pt idx="9">
                  <c:v>157</c:v>
                </c:pt>
                <c:pt idx="10">
                  <c:v>134</c:v>
                </c:pt>
                <c:pt idx="11">
                  <c:v>135</c:v>
                </c:pt>
                <c:pt idx="12">
                  <c:v>133</c:v>
                </c:pt>
                <c:pt idx="13">
                  <c:v>137</c:v>
                </c:pt>
                <c:pt idx="14">
                  <c:v>122</c:v>
                </c:pt>
                <c:pt idx="15">
                  <c:v>155</c:v>
                </c:pt>
                <c:pt idx="16">
                  <c:v>120</c:v>
                </c:pt>
                <c:pt idx="17">
                  <c:v>134</c:v>
                </c:pt>
                <c:pt idx="18">
                  <c:v>113</c:v>
                </c:pt>
                <c:pt idx="19">
                  <c:v>131</c:v>
                </c:pt>
                <c:pt idx="20">
                  <c:v>110</c:v>
                </c:pt>
                <c:pt idx="21">
                  <c:v>135</c:v>
                </c:pt>
                <c:pt idx="22">
                  <c:v>129</c:v>
                </c:pt>
                <c:pt idx="23">
                  <c:v>140</c:v>
                </c:pt>
              </c:numCache>
            </c:numRef>
          </c:val>
          <c:extLst>
            <c:ext xmlns:c16="http://schemas.microsoft.com/office/drawing/2014/chart" uri="{C3380CC4-5D6E-409C-BE32-E72D297353CC}">
              <c16:uniqueId val="{00000000-6446-41AB-B61E-8BAC365ED744}"/>
            </c:ext>
          </c:extLst>
        </c:ser>
        <c:ser>
          <c:idx val="1"/>
          <c:order val="1"/>
          <c:tx>
            <c:strRef>
              <c:f>'Avg of Default Rate'!$C$3</c:f>
              <c:strCache>
                <c:ptCount val="1"/>
                <c:pt idx="0">
                  <c:v>Sum of Emi Defaults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Rate'!$C$4:$C$28</c:f>
              <c:numCache>
                <c:formatCode>General</c:formatCode>
                <c:ptCount val="24"/>
                <c:pt idx="0">
                  <c:v>284</c:v>
                </c:pt>
                <c:pt idx="1">
                  <c:v>254</c:v>
                </c:pt>
                <c:pt idx="2">
                  <c:v>204</c:v>
                </c:pt>
                <c:pt idx="3">
                  <c:v>247</c:v>
                </c:pt>
                <c:pt idx="4">
                  <c:v>338</c:v>
                </c:pt>
                <c:pt idx="5">
                  <c:v>175</c:v>
                </c:pt>
                <c:pt idx="6">
                  <c:v>267</c:v>
                </c:pt>
                <c:pt idx="7">
                  <c:v>250</c:v>
                </c:pt>
                <c:pt idx="8">
                  <c:v>287</c:v>
                </c:pt>
                <c:pt idx="9">
                  <c:v>312</c:v>
                </c:pt>
                <c:pt idx="10">
                  <c:v>202</c:v>
                </c:pt>
                <c:pt idx="11">
                  <c:v>259</c:v>
                </c:pt>
                <c:pt idx="12">
                  <c:v>215</c:v>
                </c:pt>
                <c:pt idx="13">
                  <c:v>238</c:v>
                </c:pt>
                <c:pt idx="14">
                  <c:v>184</c:v>
                </c:pt>
                <c:pt idx="15">
                  <c:v>242</c:v>
                </c:pt>
                <c:pt idx="16">
                  <c:v>226</c:v>
                </c:pt>
                <c:pt idx="17">
                  <c:v>227</c:v>
                </c:pt>
                <c:pt idx="18">
                  <c:v>231</c:v>
                </c:pt>
                <c:pt idx="19">
                  <c:v>272</c:v>
                </c:pt>
                <c:pt idx="20">
                  <c:v>204</c:v>
                </c:pt>
                <c:pt idx="21">
                  <c:v>249</c:v>
                </c:pt>
                <c:pt idx="22">
                  <c:v>197</c:v>
                </c:pt>
                <c:pt idx="23">
                  <c:v>257</c:v>
                </c:pt>
              </c:numCache>
            </c:numRef>
          </c:val>
          <c:extLst>
            <c:ext xmlns:c16="http://schemas.microsoft.com/office/drawing/2014/chart" uri="{C3380CC4-5D6E-409C-BE32-E72D297353CC}">
              <c16:uniqueId val="{00000001-6446-41AB-B61E-8BAC365ED744}"/>
            </c:ext>
          </c:extLst>
        </c:ser>
        <c:dLbls>
          <c:showLegendKey val="0"/>
          <c:showVal val="0"/>
          <c:showCatName val="0"/>
          <c:showSerName val="0"/>
          <c:showPercent val="0"/>
          <c:showBubbleSize val="0"/>
        </c:dLbls>
        <c:gapWidth val="219"/>
        <c:overlap val="-27"/>
        <c:axId val="1307880608"/>
        <c:axId val="1307881088"/>
      </c:barChart>
      <c:lineChart>
        <c:grouping val="standard"/>
        <c:varyColors val="0"/>
        <c:ser>
          <c:idx val="2"/>
          <c:order val="2"/>
          <c:tx>
            <c:strRef>
              <c:f>'Avg of Default Rate'!$D$3</c:f>
              <c:strCache>
                <c:ptCount val="1"/>
                <c:pt idx="0">
                  <c:v>Sum of Default Rate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'Avg of Default Rate'!$A$4:$A$28</c:f>
              <c:strCache>
                <c:ptCount val="24"/>
                <c:pt idx="0">
                  <c:v>Finance - Director</c:v>
                </c:pt>
                <c:pt idx="1">
                  <c:v>Finance - Executive</c:v>
                </c:pt>
                <c:pt idx="2">
                  <c:v>Finance - Intern</c:v>
                </c:pt>
                <c:pt idx="3">
                  <c:v>Finance - Manager</c:v>
                </c:pt>
                <c:pt idx="4">
                  <c:v>Growth - Director</c:v>
                </c:pt>
                <c:pt idx="5">
                  <c:v>Growth - Executive</c:v>
                </c:pt>
                <c:pt idx="6">
                  <c:v>Growth - Intern</c:v>
                </c:pt>
                <c:pt idx="7">
                  <c:v>Growth - Manager</c:v>
                </c:pt>
                <c:pt idx="8">
                  <c:v>Marketing - Director</c:v>
                </c:pt>
                <c:pt idx="9">
                  <c:v>Marketing - Executive</c:v>
                </c:pt>
                <c:pt idx="10">
                  <c:v>Marketing - Intern</c:v>
                </c:pt>
                <c:pt idx="11">
                  <c:v>Marketing - Manager</c:v>
                </c:pt>
                <c:pt idx="12">
                  <c:v>Operation - Director</c:v>
                </c:pt>
                <c:pt idx="13">
                  <c:v>Operation - Executive</c:v>
                </c:pt>
                <c:pt idx="14">
                  <c:v>Operation - Intern</c:v>
                </c:pt>
                <c:pt idx="15">
                  <c:v>Operation - Manager</c:v>
                </c:pt>
                <c:pt idx="16">
                  <c:v>Sales - Director</c:v>
                </c:pt>
                <c:pt idx="17">
                  <c:v>Sales - Executive</c:v>
                </c:pt>
                <c:pt idx="18">
                  <c:v>Sales - Intern</c:v>
                </c:pt>
                <c:pt idx="19">
                  <c:v>Sales - Manager</c:v>
                </c:pt>
                <c:pt idx="20">
                  <c:v>Strategy - Director</c:v>
                </c:pt>
                <c:pt idx="21">
                  <c:v>Strategy - Executive</c:v>
                </c:pt>
                <c:pt idx="22">
                  <c:v>Strategy - Intern</c:v>
                </c:pt>
                <c:pt idx="23">
                  <c:v>Strategy - Manager</c:v>
                </c:pt>
              </c:strCache>
            </c:strRef>
          </c:cat>
          <c:val>
            <c:numRef>
              <c:f>'Avg of Default Rate'!$D$4:$D$28</c:f>
              <c:numCache>
                <c:formatCode>0.0%</c:formatCode>
                <c:ptCount val="24"/>
                <c:pt idx="0">
                  <c:v>2</c:v>
                </c:pt>
                <c:pt idx="1">
                  <c:v>1.6282051282051282</c:v>
                </c:pt>
                <c:pt idx="2">
                  <c:v>1.9245283018867925</c:v>
                </c:pt>
                <c:pt idx="3">
                  <c:v>1.6917808219178083</c:v>
                </c:pt>
                <c:pt idx="4">
                  <c:v>1.8571428571428572</c:v>
                </c:pt>
                <c:pt idx="5">
                  <c:v>1.5765765765765767</c:v>
                </c:pt>
                <c:pt idx="6">
                  <c:v>1.7225806451612904</c:v>
                </c:pt>
                <c:pt idx="7">
                  <c:v>1.7730496453900708</c:v>
                </c:pt>
                <c:pt idx="8">
                  <c:v>1.8758169934640523</c:v>
                </c:pt>
                <c:pt idx="9">
                  <c:v>1.9872611464968153</c:v>
                </c:pt>
                <c:pt idx="10">
                  <c:v>1.5074626865671641</c:v>
                </c:pt>
                <c:pt idx="11">
                  <c:v>1.9185185185185185</c:v>
                </c:pt>
                <c:pt idx="12">
                  <c:v>1.6165413533834587</c:v>
                </c:pt>
                <c:pt idx="13">
                  <c:v>1.7372262773722629</c:v>
                </c:pt>
                <c:pt idx="14">
                  <c:v>1.5081967213114753</c:v>
                </c:pt>
                <c:pt idx="15">
                  <c:v>1.5612903225806452</c:v>
                </c:pt>
                <c:pt idx="16">
                  <c:v>1.8833333333333333</c:v>
                </c:pt>
                <c:pt idx="17">
                  <c:v>1.6940298507462686</c:v>
                </c:pt>
                <c:pt idx="18">
                  <c:v>2.0442477876106193</c:v>
                </c:pt>
                <c:pt idx="19">
                  <c:v>2.0763358778625953</c:v>
                </c:pt>
                <c:pt idx="20">
                  <c:v>1.8545454545454545</c:v>
                </c:pt>
                <c:pt idx="21">
                  <c:v>1.8444444444444446</c:v>
                </c:pt>
                <c:pt idx="22">
                  <c:v>1.5271317829457365</c:v>
                </c:pt>
                <c:pt idx="23">
                  <c:v>1.8357142857142856</c:v>
                </c:pt>
              </c:numCache>
            </c:numRef>
          </c:val>
          <c:smooth val="0"/>
          <c:extLst>
            <c:ext xmlns:c16="http://schemas.microsoft.com/office/drawing/2014/chart" uri="{C3380CC4-5D6E-409C-BE32-E72D297353CC}">
              <c16:uniqueId val="{00000002-6446-41AB-B61E-8BAC365ED744}"/>
            </c:ext>
          </c:extLst>
        </c:ser>
        <c:dLbls>
          <c:showLegendKey val="0"/>
          <c:showVal val="0"/>
          <c:showCatName val="0"/>
          <c:showSerName val="0"/>
          <c:showPercent val="0"/>
          <c:showBubbleSize val="0"/>
        </c:dLbls>
        <c:marker val="1"/>
        <c:smooth val="0"/>
        <c:axId val="1366703328"/>
        <c:axId val="1366705248"/>
      </c:lineChart>
      <c:catAx>
        <c:axId val="1307880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7881088"/>
        <c:crosses val="autoZero"/>
        <c:auto val="1"/>
        <c:lblAlgn val="ctr"/>
        <c:lblOffset val="100"/>
        <c:noMultiLvlLbl val="0"/>
      </c:catAx>
      <c:valAx>
        <c:axId val="130788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7880608"/>
        <c:crosses val="autoZero"/>
        <c:crossBetween val="between"/>
      </c:valAx>
      <c:valAx>
        <c:axId val="1366705248"/>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6703328"/>
        <c:crosses val="max"/>
        <c:crossBetween val="between"/>
      </c:valAx>
      <c:catAx>
        <c:axId val="1366703328"/>
        <c:scaling>
          <c:orientation val="minMax"/>
        </c:scaling>
        <c:delete val="1"/>
        <c:axPos val="b"/>
        <c:numFmt formatCode="General" sourceLinked="1"/>
        <c:majorTickMark val="none"/>
        <c:minorTickMark val="none"/>
        <c:tickLblPos val="nextTo"/>
        <c:crossAx val="1366705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[Ankur_Chowdhury_JustLoan_Excel_Project_Data_Analysis.xlsx]Loan &amp; Cx count trend!PivotTable2</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Loan Applications and Customer Count Trend - 2020</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'Loan &amp; Cx count trend'!$C$3</c:f>
              <c:strCache>
                <c:ptCount val="1"/>
                <c:pt idx="0">
                  <c:v>Sum of New Loan Application amount</c:v>
                </c:pt>
              </c:strCache>
            </c:strRef>
          </c:tx>
          <c:spPr>
            <a:ln w="28575" cap="rnd">
              <a:solidFill>
                <a:schemeClr val="accent2"/>
              </a:solidFill>
              <a:round/>
            </a:ln>
            <a:effectLst/>
          </c:spPr>
          <c:marker>
            <c:symbol val="circle"/>
            <c:size val="6"/>
            <c:spPr>
              <a:solidFill>
                <a:schemeClr val="accent2"/>
              </a:solidFill>
              <a:ln>
                <a:noFill/>
              </a:ln>
              <a:effectLst/>
            </c:spPr>
          </c:marker>
          <c:cat>
            <c:multiLvlStrRef>
              <c:f>'Loan &amp; Cx count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'Loan &amp; Cx count trend'!$C$4:$C$17</c:f>
              <c:numCache>
                <c:formatCode>General</c:formatCode>
                <c:ptCount val="12"/>
                <c:pt idx="0">
                  <c:v>77337543</c:v>
                </c:pt>
                <c:pt idx="1">
                  <c:v>75393920</c:v>
                </c:pt>
                <c:pt idx="2">
                  <c:v>81949442</c:v>
                </c:pt>
                <c:pt idx="3">
                  <c:v>71475896</c:v>
                </c:pt>
                <c:pt idx="4">
                  <c:v>84087828</c:v>
                </c:pt>
                <c:pt idx="5">
                  <c:v>74287048</c:v>
                </c:pt>
                <c:pt idx="6">
                  <c:v>69827375</c:v>
                </c:pt>
                <c:pt idx="7">
                  <c:v>62308924</c:v>
                </c:pt>
                <c:pt idx="8">
                  <c:v>76800146</c:v>
                </c:pt>
                <c:pt idx="9">
                  <c:v>65564078</c:v>
                </c:pt>
                <c:pt idx="10">
                  <c:v>65337978</c:v>
                </c:pt>
                <c:pt idx="11">
                  <c:v>18137367</c:v>
                </c:pt>
              </c:numCache>
            </c:numRef>
          </c:val>
          <c:smooth val="0"/>
          <c:extLst>
            <c:ext xmlns:c16="http://schemas.microsoft.com/office/drawing/2014/chart" uri="{C3380CC4-5D6E-409C-BE32-E72D297353CC}">
              <c16:uniqueId val="{00000002-FECB-4366-AF0A-57666CF65FAA}"/>
            </c:ext>
          </c:extLst>
        </c:ser>
        <c:dLbls>
          <c:showLegendKey val="0"/>
          <c:showVal val="0"/>
          <c:showCatName val="0"/>
          <c:showSerName val="0"/>
          <c:showPercent val="0"/>
          <c:showBubbleSize val="0"/>
        </c:dLbls>
        <c:marker val="1"/>
        <c:smooth val="0"/>
        <c:axId val="963403520"/>
        <c:axId val="963401120"/>
      </c:lineChart>
      <c:lineChart>
        <c:grouping val="standard"/>
        <c:varyColors val="0"/>
        <c:ser>
          <c:idx val="0"/>
          <c:order val="0"/>
          <c:tx>
            <c:strRef>
              <c:f>'Loan &amp; Cx count trend'!$B$3</c:f>
              <c:strCache>
                <c:ptCount val="1"/>
                <c:pt idx="0">
                  <c:v>Sum of CustomerID</c:v>
                </c:pt>
              </c:strCache>
            </c:strRef>
          </c:tx>
          <c:spPr>
            <a:ln w="28575" cap="rnd">
              <a:solidFill>
                <a:schemeClr val="accent1"/>
              </a:solidFill>
              <a:round/>
            </a:ln>
            <a:effectLst/>
          </c:spPr>
          <c:marker>
            <c:symbol val="circle"/>
            <c:size val="6"/>
            <c:spPr>
              <a:solidFill>
                <a:schemeClr val="accent1"/>
              </a:solidFill>
              <a:ln>
                <a:noFill/>
              </a:ln>
              <a:effectLst/>
            </c:spPr>
          </c:marker>
          <c:cat>
            <c:multiLvlStrRef>
              <c:f>'Loan &amp; Cx count trend'!$A$4:$A$17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'Loan &amp; Cx count trend'!$B$4:$B$17</c:f>
              <c:numCache>
                <c:formatCode>General</c:formatCode>
                <c:ptCount val="12"/>
                <c:pt idx="0">
                  <c:v>5894833</c:v>
                </c:pt>
                <c:pt idx="1">
                  <c:v>5720035</c:v>
                </c:pt>
                <c:pt idx="2">
                  <c:v>6223202</c:v>
                </c:pt>
                <c:pt idx="3">
                  <c:v>4953296</c:v>
                </c:pt>
                <c:pt idx="4">
                  <c:v>6508624</c:v>
                </c:pt>
                <c:pt idx="5">
                  <c:v>4977179</c:v>
                </c:pt>
                <c:pt idx="6">
                  <c:v>4842125</c:v>
                </c:pt>
                <c:pt idx="7">
                  <c:v>4576865</c:v>
                </c:pt>
                <c:pt idx="8">
                  <c:v>5972519</c:v>
                </c:pt>
                <c:pt idx="9">
                  <c:v>5078755</c:v>
                </c:pt>
                <c:pt idx="10">
                  <c:v>4497466</c:v>
                </c:pt>
                <c:pt idx="11">
                  <c:v>1392972</c:v>
                </c:pt>
              </c:numCache>
            </c:numRef>
          </c:val>
          <c:smooth val="0"/>
          <c:extLst>
            <c:ext xmlns:c16="http://schemas.microsoft.com/office/drawing/2014/chart" uri="{C3380CC4-5D6E-409C-BE32-E72D297353CC}">
              <c16:uniqueId val="{00000000-FECB-4366-AF0A-57666CF65FAA}"/>
            </c:ext>
          </c:extLst>
        </c:ser>
        <c:dLbls>
          <c:showLegendKey val="0"/>
          <c:showVal val="0"/>
          <c:showCatName val="0"/>
          <c:showSerName val="0"/>
          <c:showPercent val="0"/>
          <c:showBubbleSize val="0"/>
        </c:dLbls>
        <c:marker val="1"/>
        <c:smooth val="0"/>
        <c:axId val="1370186336"/>
        <c:axId val="1318884720"/>
      </c:lineChart>
      <c:catAx>
        <c:axId val="963403520"/>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1120"/>
        <c:crosses val="autoZero"/>
        <c:auto val="1"/>
        <c:lblAlgn val="ctr"/>
        <c:lblOffset val="100"/>
        <c:noMultiLvlLbl val="0"/>
      </c:catAx>
      <c:valAx>
        <c:axId val="963401120"/>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Sum of Loan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03520"/>
        <c:crosses val="autoZero"/>
        <c:crossBetween val="between"/>
      </c:valAx>
      <c:valAx>
        <c:axId val="1318884720"/>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186336"/>
        <c:crosses val="max"/>
        <c:crossBetween val="between"/>
      </c:valAx>
      <c:catAx>
        <c:axId val="1370186336"/>
        <c:scaling>
          <c:orientation val="minMax"/>
        </c:scaling>
        <c:delete val="1"/>
        <c:axPos val="b"/>
        <c:numFmt formatCode="General" sourceLinked="1"/>
        <c:majorTickMark val="none"/>
        <c:minorTickMark val="none"/>
        <c:tickLblPos val="nextTo"/>
        <c:crossAx val="13188847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72869</xdr:colOff>
      <xdr:row>0</xdr:row>
      <xdr:rowOff>0</xdr:rowOff>
    </xdr:from>
    <xdr:to>
      <xdr:col>27</xdr:col>
      <xdr:colOff>104098</xdr:colOff>
      <xdr:row>35</xdr:row>
      <xdr:rowOff>21525</xdr:rowOff>
    </xdr:to>
    <xdr:sp macro="" textlink="">
      <xdr:nvSpPr>
        <xdr:cNvPr id="4" name="Rectangle 3">
          <a:extLst>
            <a:ext uri="{FF2B5EF4-FFF2-40B4-BE49-F238E27FC236}">
              <a16:creationId xmlns:a16="http://schemas.microsoft.com/office/drawing/2014/main" id="{96A5A6DA-2B29-2BEF-687B-B8F61F4B8E47}"/>
            </a:ext>
          </a:extLst>
        </xdr:cNvPr>
        <xdr:cNvSpPr/>
      </xdr:nvSpPr>
      <xdr:spPr>
        <a:xfrm>
          <a:off x="1353279" y="0"/>
          <a:ext cx="15770901" cy="7308410"/>
        </a:xfrm>
        <a:prstGeom prst="rect">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39076</xdr:colOff>
      <xdr:row>35</xdr:row>
      <xdr:rowOff>22281</xdr:rowOff>
    </xdr:to>
    <xdr:sp macro="" textlink="">
      <xdr:nvSpPr>
        <xdr:cNvPr id="3" name="Rectangle 2">
          <a:extLst>
            <a:ext uri="{FF2B5EF4-FFF2-40B4-BE49-F238E27FC236}">
              <a16:creationId xmlns:a16="http://schemas.microsoft.com/office/drawing/2014/main" id="{ACF6C4D0-B573-076B-B4DD-D6C0CFD48A9B}"/>
            </a:ext>
          </a:extLst>
        </xdr:cNvPr>
        <xdr:cNvSpPr/>
      </xdr:nvSpPr>
      <xdr:spPr>
        <a:xfrm>
          <a:off x="0" y="0"/>
          <a:ext cx="1328614" cy="7202666"/>
        </a:xfrm>
        <a:prstGeom prst="rect">
          <a:avLst/>
        </a:prstGeom>
        <a:solidFill>
          <a:schemeClr val="accent3">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80595</xdr:rowOff>
    </xdr:from>
    <xdr:to>
      <xdr:col>3</xdr:col>
      <xdr:colOff>48847</xdr:colOff>
      <xdr:row>5</xdr:row>
      <xdr:rowOff>132687</xdr:rowOff>
    </xdr:to>
    <xdr:sp macro="" textlink="">
      <xdr:nvSpPr>
        <xdr:cNvPr id="8" name="TextBox 7">
          <a:extLst>
            <a:ext uri="{FF2B5EF4-FFF2-40B4-BE49-F238E27FC236}">
              <a16:creationId xmlns:a16="http://schemas.microsoft.com/office/drawing/2014/main" id="{84BCF9FF-38B8-DAC2-3B40-765B816641F7}"/>
            </a:ext>
          </a:extLst>
        </xdr:cNvPr>
        <xdr:cNvSpPr txBox="1"/>
      </xdr:nvSpPr>
      <xdr:spPr>
        <a:xfrm>
          <a:off x="0" y="80595"/>
          <a:ext cx="1337802" cy="1047241"/>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JUST LOAN ANALYSIS</a:t>
          </a:r>
        </a:p>
        <a:p>
          <a:pPr marL="0" indent="0" algn="ctr"/>
          <a:r>
            <a:rPr lang="en-IN" sz="16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t>
          </a:r>
          <a:endParaRPr lang="en-US" sz="16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25400</xdr:colOff>
      <xdr:row>6</xdr:row>
      <xdr:rowOff>88217</xdr:rowOff>
    </xdr:from>
    <xdr:to>
      <xdr:col>3</xdr:col>
      <xdr:colOff>19539</xdr:colOff>
      <xdr:row>9</xdr:row>
      <xdr:rowOff>78907</xdr:rowOff>
    </xdr:to>
    <xdr:sp macro="" textlink="">
      <xdr:nvSpPr>
        <xdr:cNvPr id="14" name="TextBox 13">
          <a:extLst>
            <a:ext uri="{FF2B5EF4-FFF2-40B4-BE49-F238E27FC236}">
              <a16:creationId xmlns:a16="http://schemas.microsoft.com/office/drawing/2014/main" id="{A808D896-6FFB-5567-DCBE-1CBD91B33CA3}"/>
            </a:ext>
          </a:extLst>
        </xdr:cNvPr>
        <xdr:cNvSpPr txBox="1"/>
      </xdr:nvSpPr>
      <xdr:spPr>
        <a:xfrm>
          <a:off x="25400" y="1282396"/>
          <a:ext cx="1283094" cy="5877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t>
          </a:r>
          <a:r>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Total Loan Amount</a:t>
          </a:r>
        </a:p>
      </xdr:txBody>
    </xdr:sp>
    <xdr:clientData/>
  </xdr:twoCellAnchor>
  <xdr:twoCellAnchor>
    <xdr:from>
      <xdr:col>0</xdr:col>
      <xdr:colOff>19050</xdr:colOff>
      <xdr:row>8</xdr:row>
      <xdr:rowOff>194626</xdr:rowOff>
    </xdr:from>
    <xdr:to>
      <xdr:col>3</xdr:col>
      <xdr:colOff>19986</xdr:colOff>
      <xdr:row>10</xdr:row>
      <xdr:rowOff>66208</xdr:rowOff>
    </xdr:to>
    <xdr:sp macro="" textlink="'Total Loan Amount'!E3">
      <xdr:nvSpPr>
        <xdr:cNvPr id="15" name="TextBox 14">
          <a:extLst>
            <a:ext uri="{FF2B5EF4-FFF2-40B4-BE49-F238E27FC236}">
              <a16:creationId xmlns:a16="http://schemas.microsoft.com/office/drawing/2014/main" id="{D54E4499-9D8B-7B80-AD84-1496C80F605E}"/>
            </a:ext>
          </a:extLst>
        </xdr:cNvPr>
        <xdr:cNvSpPr txBox="1"/>
      </xdr:nvSpPr>
      <xdr:spPr>
        <a:xfrm>
          <a:off x="19050" y="1786865"/>
          <a:ext cx="1289891" cy="26964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F6F39A-5A57-4F7E-87A7-DB259E7F605B}" type="TxLink">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pPr marL="0" indent="0" algn="ctr"/>
            <a:t>822.5M</a:t>
          </a:fld>
          <a:endPar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57150</xdr:colOff>
      <xdr:row>18</xdr:row>
      <xdr:rowOff>63241</xdr:rowOff>
    </xdr:from>
    <xdr:to>
      <xdr:col>3</xdr:col>
      <xdr:colOff>9770</xdr:colOff>
      <xdr:row>19</xdr:row>
      <xdr:rowOff>127293</xdr:rowOff>
    </xdr:to>
    <xdr:sp macro="" textlink="'Avg of Default Rate'!K23">
      <xdr:nvSpPr>
        <xdr:cNvPr id="16" name="TextBox 15">
          <a:extLst>
            <a:ext uri="{FF2B5EF4-FFF2-40B4-BE49-F238E27FC236}">
              <a16:creationId xmlns:a16="http://schemas.microsoft.com/office/drawing/2014/main" id="{0DF69B2B-C51B-395C-0135-6F594C65B23E}"/>
            </a:ext>
          </a:extLst>
        </xdr:cNvPr>
        <xdr:cNvSpPr txBox="1"/>
      </xdr:nvSpPr>
      <xdr:spPr>
        <a:xfrm>
          <a:off x="57150" y="3645778"/>
          <a:ext cx="1241575" cy="26308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5B54DC-6059-4935-9721-FECEAE03BE79}" type="TxLink">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pPr marL="0" indent="0" algn="ctr"/>
            <a:t>177.63%</a:t>
          </a:fld>
          <a:endPar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57150</xdr:colOff>
      <xdr:row>13</xdr:row>
      <xdr:rowOff>95863</xdr:rowOff>
    </xdr:from>
    <xdr:to>
      <xdr:col>3</xdr:col>
      <xdr:colOff>29308</xdr:colOff>
      <xdr:row>14</xdr:row>
      <xdr:rowOff>185909</xdr:rowOff>
    </xdr:to>
    <xdr:sp macro="" textlink="'Avg of Credit Score'!G17">
      <xdr:nvSpPr>
        <xdr:cNvPr id="17" name="TextBox 16">
          <a:extLst>
            <a:ext uri="{FF2B5EF4-FFF2-40B4-BE49-F238E27FC236}">
              <a16:creationId xmlns:a16="http://schemas.microsoft.com/office/drawing/2014/main" id="{371A673D-E14B-F06E-B37E-09546D4ADD6C}"/>
            </a:ext>
          </a:extLst>
        </xdr:cNvPr>
        <xdr:cNvSpPr txBox="1"/>
      </xdr:nvSpPr>
      <xdr:spPr>
        <a:xfrm>
          <a:off x="57150" y="2683251"/>
          <a:ext cx="1261113" cy="28907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46E359-6736-4161-9788-F0442FF5F927}" type="TxLink">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pPr marL="0" indent="0" algn="ctr"/>
            <a:t>749.05</a:t>
          </a:fld>
          <a:endPar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25400</xdr:colOff>
      <xdr:row>10</xdr:row>
      <xdr:rowOff>177118</xdr:rowOff>
    </xdr:from>
    <xdr:to>
      <xdr:col>3</xdr:col>
      <xdr:colOff>19539</xdr:colOff>
      <xdr:row>13</xdr:row>
      <xdr:rowOff>167807</xdr:rowOff>
    </xdr:to>
    <xdr:sp macro="" textlink="">
      <xdr:nvSpPr>
        <xdr:cNvPr id="18" name="TextBox 17">
          <a:extLst>
            <a:ext uri="{FF2B5EF4-FFF2-40B4-BE49-F238E27FC236}">
              <a16:creationId xmlns:a16="http://schemas.microsoft.com/office/drawing/2014/main" id="{D8B876DC-9428-4330-9A05-FE906571E0B0}"/>
            </a:ext>
          </a:extLst>
        </xdr:cNvPr>
        <xdr:cNvSpPr txBox="1"/>
      </xdr:nvSpPr>
      <xdr:spPr>
        <a:xfrm>
          <a:off x="25400" y="2167417"/>
          <a:ext cx="1283094" cy="58777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t>
          </a:r>
          <a:r>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Average Credit Score</a:t>
          </a:r>
        </a:p>
      </xdr:txBody>
    </xdr:sp>
    <xdr:clientData/>
  </xdr:twoCellAnchor>
  <xdr:twoCellAnchor>
    <xdr:from>
      <xdr:col>0</xdr:col>
      <xdr:colOff>72638</xdr:colOff>
      <xdr:row>23</xdr:row>
      <xdr:rowOff>2384</xdr:rowOff>
    </xdr:from>
    <xdr:to>
      <xdr:col>3</xdr:col>
      <xdr:colOff>19539</xdr:colOff>
      <xdr:row>24</xdr:row>
      <xdr:rowOff>49141</xdr:rowOff>
    </xdr:to>
    <xdr:sp macro="" textlink="'Loan &amp; Cx count trend'!B20">
      <xdr:nvSpPr>
        <xdr:cNvPr id="19" name="TextBox 18">
          <a:extLst>
            <a:ext uri="{FF2B5EF4-FFF2-40B4-BE49-F238E27FC236}">
              <a16:creationId xmlns:a16="http://schemas.microsoft.com/office/drawing/2014/main" id="{303407CB-9874-3A17-E228-EBF3811FDB8C}"/>
            </a:ext>
          </a:extLst>
        </xdr:cNvPr>
        <xdr:cNvSpPr txBox="1"/>
      </xdr:nvSpPr>
      <xdr:spPr>
        <a:xfrm>
          <a:off x="72638" y="4580071"/>
          <a:ext cx="1235856" cy="24578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B102A9C-5B09-4F8F-81F0-E01E324D6B42}" type="TxLink">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pPr marL="0" indent="0" algn="ctr"/>
            <a:t>60.6M</a:t>
          </a:fld>
          <a:endPar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17657</xdr:colOff>
      <xdr:row>15</xdr:row>
      <xdr:rowOff>115164</xdr:rowOff>
    </xdr:from>
    <xdr:to>
      <xdr:col>3</xdr:col>
      <xdr:colOff>11796</xdr:colOff>
      <xdr:row>18</xdr:row>
      <xdr:rowOff>105855</xdr:rowOff>
    </xdr:to>
    <xdr:sp macro="" textlink="">
      <xdr:nvSpPr>
        <xdr:cNvPr id="20" name="TextBox 19">
          <a:extLst>
            <a:ext uri="{FF2B5EF4-FFF2-40B4-BE49-F238E27FC236}">
              <a16:creationId xmlns:a16="http://schemas.microsoft.com/office/drawing/2014/main" id="{3B718324-8B41-51E1-DF32-FB8EACE87FDC}"/>
            </a:ext>
          </a:extLst>
        </xdr:cNvPr>
        <xdr:cNvSpPr txBox="1"/>
      </xdr:nvSpPr>
      <xdr:spPr>
        <a:xfrm>
          <a:off x="17657" y="3100612"/>
          <a:ext cx="1283094" cy="5877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t>
          </a:r>
          <a:r>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Overall Default Rate</a:t>
          </a:r>
        </a:p>
      </xdr:txBody>
    </xdr:sp>
    <xdr:clientData/>
  </xdr:twoCellAnchor>
  <xdr:twoCellAnchor>
    <xdr:from>
      <xdr:col>0</xdr:col>
      <xdr:colOff>25401</xdr:colOff>
      <xdr:row>20</xdr:row>
      <xdr:rowOff>53215</xdr:rowOff>
    </xdr:from>
    <xdr:to>
      <xdr:col>3</xdr:col>
      <xdr:colOff>19540</xdr:colOff>
      <xdr:row>23</xdr:row>
      <xdr:rowOff>43904</xdr:rowOff>
    </xdr:to>
    <xdr:sp macro="" textlink="">
      <xdr:nvSpPr>
        <xdr:cNvPr id="21" name="TextBox 20">
          <a:extLst>
            <a:ext uri="{FF2B5EF4-FFF2-40B4-BE49-F238E27FC236}">
              <a16:creationId xmlns:a16="http://schemas.microsoft.com/office/drawing/2014/main" id="{B83A5E54-43BB-8B4E-A02D-3337E7746B99}"/>
            </a:ext>
          </a:extLst>
        </xdr:cNvPr>
        <xdr:cNvSpPr txBox="1"/>
      </xdr:nvSpPr>
      <xdr:spPr>
        <a:xfrm>
          <a:off x="25401" y="4033812"/>
          <a:ext cx="1283094" cy="58777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a:t>
          </a:r>
          <a:r>
            <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rPr>
            <a:t>Custome</a:t>
          </a:r>
          <a:r>
            <a:rPr lang="en-US" sz="1400" b="1" i="0" u="none" strike="noStrike" baseline="0">
              <a:solidFill>
                <a:srgbClr val="FFFF00"/>
              </a:solidFill>
              <a:effectLst>
                <a:outerShdw blurRad="50800" dist="38100" dir="2700000" algn="tl" rotWithShape="0">
                  <a:prstClr val="black">
                    <a:alpha val="40000"/>
                  </a:prstClr>
                </a:outerShdw>
              </a:effectLst>
              <a:latin typeface="Aptos Narrow"/>
              <a:ea typeface="+mn-ea"/>
              <a:cs typeface="+mn-cs"/>
            </a:rPr>
            <a:t>r Count</a:t>
          </a:r>
          <a:endParaRPr lang="en-US" sz="1400" b="1" i="0" u="none" strike="noStrike">
            <a:solidFill>
              <a:srgbClr val="FFFF00"/>
            </a:soli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3</xdr:col>
      <xdr:colOff>100705</xdr:colOff>
      <xdr:row>0</xdr:row>
      <xdr:rowOff>61976</xdr:rowOff>
    </xdr:from>
    <xdr:to>
      <xdr:col>7</xdr:col>
      <xdr:colOff>599388</xdr:colOff>
      <xdr:row>12</xdr:row>
      <xdr:rowOff>9769</xdr:rowOff>
    </xdr:to>
    <xdr:graphicFrame macro="">
      <xdr:nvGraphicFramePr>
        <xdr:cNvPr id="22" name="Chart 21">
          <a:extLst>
            <a:ext uri="{FF2B5EF4-FFF2-40B4-BE49-F238E27FC236}">
              <a16:creationId xmlns:a16="http://schemas.microsoft.com/office/drawing/2014/main" id="{E02B029C-1E31-41BB-BEF9-3C577FD27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23910</xdr:colOff>
      <xdr:row>0</xdr:row>
      <xdr:rowOff>76487</xdr:rowOff>
    </xdr:from>
    <xdr:to>
      <xdr:col>13</xdr:col>
      <xdr:colOff>453832</xdr:colOff>
      <xdr:row>12</xdr:row>
      <xdr:rowOff>11140</xdr:rowOff>
    </xdr:to>
    <xdr:graphicFrame macro="">
      <xdr:nvGraphicFramePr>
        <xdr:cNvPr id="23" name="Chart 22">
          <a:extLst>
            <a:ext uri="{FF2B5EF4-FFF2-40B4-BE49-F238E27FC236}">
              <a16:creationId xmlns:a16="http://schemas.microsoft.com/office/drawing/2014/main" id="{244982A8-1B7A-41A9-A053-C7FD5C6B2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25</xdr:row>
      <xdr:rowOff>191774</xdr:rowOff>
    </xdr:from>
    <xdr:to>
      <xdr:col>3</xdr:col>
      <xdr:colOff>72868</xdr:colOff>
      <xdr:row>32</xdr:row>
      <xdr:rowOff>178067</xdr:rowOff>
    </xdr:to>
    <mc:AlternateContent xmlns:mc="http://schemas.openxmlformats.org/markup-compatibility/2006" xmlns:a14="http://schemas.microsoft.com/office/drawing/2010/main">
      <mc:Choice Requires="a14">
        <xdr:graphicFrame macro="">
          <xdr:nvGraphicFramePr>
            <xdr:cNvPr id="24" name="Loan Type 2">
              <a:extLst>
                <a:ext uri="{FF2B5EF4-FFF2-40B4-BE49-F238E27FC236}">
                  <a16:creationId xmlns:a16="http://schemas.microsoft.com/office/drawing/2014/main" id="{1193E780-B3CF-44A7-B62C-8BD768578DBB}"/>
                </a:ext>
              </a:extLst>
            </xdr:cNvPr>
            <xdr:cNvGraphicFramePr/>
          </xdr:nvGraphicFramePr>
          <xdr:xfrm>
            <a:off x="0" y="0"/>
            <a:ext cx="0" cy="0"/>
          </xdr:xfrm>
          <a:graphic>
            <a:graphicData uri="http://schemas.microsoft.com/office/drawing/2010/slicer">
              <sle:slicer xmlns:sle="http://schemas.microsoft.com/office/drawing/2010/slicer" name="Loan Type 2"/>
            </a:graphicData>
          </a:graphic>
        </xdr:graphicFrame>
      </mc:Choice>
      <mc:Fallback xmlns="">
        <xdr:sp macro="" textlink="">
          <xdr:nvSpPr>
            <xdr:cNvPr id="0" name=""/>
            <xdr:cNvSpPr>
              <a:spLocks noTextEdit="1"/>
            </xdr:cNvSpPr>
          </xdr:nvSpPr>
          <xdr:spPr>
            <a:xfrm>
              <a:off x="0" y="5167520"/>
              <a:ext cx="1361823" cy="1379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564067</xdr:colOff>
      <xdr:row>0</xdr:row>
      <xdr:rowOff>68491</xdr:rowOff>
    </xdr:from>
    <xdr:to>
      <xdr:col>23</xdr:col>
      <xdr:colOff>507999</xdr:colOff>
      <xdr:row>17</xdr:row>
      <xdr:rowOff>77983</xdr:rowOff>
    </xdr:to>
    <xdr:graphicFrame macro="">
      <xdr:nvGraphicFramePr>
        <xdr:cNvPr id="26" name="Chart 25">
          <a:extLst>
            <a:ext uri="{FF2B5EF4-FFF2-40B4-BE49-F238E27FC236}">
              <a16:creationId xmlns:a16="http://schemas.microsoft.com/office/drawing/2014/main" id="{8AB50270-84F5-468F-A813-AE1B1F9B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108161</xdr:colOff>
      <xdr:row>12</xdr:row>
      <xdr:rowOff>122111</xdr:rowOff>
    </xdr:from>
    <xdr:to>
      <xdr:col>13</xdr:col>
      <xdr:colOff>451948</xdr:colOff>
      <xdr:row>34</xdr:row>
      <xdr:rowOff>80894</xdr:rowOff>
    </xdr:to>
    <xdr:graphicFrame macro="">
      <xdr:nvGraphicFramePr>
        <xdr:cNvPr id="27" name="Chart 26">
          <a:extLst>
            <a:ext uri="{FF2B5EF4-FFF2-40B4-BE49-F238E27FC236}">
              <a16:creationId xmlns:a16="http://schemas.microsoft.com/office/drawing/2014/main" id="{D84CDBB3-7300-4265-A664-C86EBCFB0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568035</xdr:colOff>
      <xdr:row>18</xdr:row>
      <xdr:rowOff>15270</xdr:rowOff>
    </xdr:from>
    <xdr:to>
      <xdr:col>23</xdr:col>
      <xdr:colOff>498231</xdr:colOff>
      <xdr:row>34</xdr:row>
      <xdr:rowOff>62728</xdr:rowOff>
    </xdr:to>
    <xdr:graphicFrame macro="">
      <xdr:nvGraphicFramePr>
        <xdr:cNvPr id="25" name="Chart 24">
          <a:extLst>
            <a:ext uri="{FF2B5EF4-FFF2-40B4-BE49-F238E27FC236}">
              <a16:creationId xmlns:a16="http://schemas.microsoft.com/office/drawing/2014/main" id="{E7710012-1183-4B2D-BD30-2E674FA16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576074</xdr:colOff>
      <xdr:row>0</xdr:row>
      <xdr:rowOff>73517</xdr:rowOff>
    </xdr:from>
    <xdr:to>
      <xdr:col>27</xdr:col>
      <xdr:colOff>20820</xdr:colOff>
      <xdr:row>17</xdr:row>
      <xdr:rowOff>87924</xdr:rowOff>
    </xdr:to>
    <mc:AlternateContent xmlns:mc="http://schemas.openxmlformats.org/markup-compatibility/2006" xmlns:a14="http://schemas.microsoft.com/office/drawing/2010/main">
      <mc:Choice Requires="a14">
        <xdr:graphicFrame macro="">
          <xdr:nvGraphicFramePr>
            <xdr:cNvPr id="28" name="Department - Designation 1">
              <a:extLst>
                <a:ext uri="{FF2B5EF4-FFF2-40B4-BE49-F238E27FC236}">
                  <a16:creationId xmlns:a16="http://schemas.microsoft.com/office/drawing/2014/main" id="{81D27373-A1D5-4E76-A62D-1992F0831BFD}"/>
                </a:ext>
              </a:extLst>
            </xdr:cNvPr>
            <xdr:cNvGraphicFramePr/>
          </xdr:nvGraphicFramePr>
          <xdr:xfrm>
            <a:off x="0" y="0"/>
            <a:ext cx="0" cy="0"/>
          </xdr:xfrm>
          <a:graphic>
            <a:graphicData uri="http://schemas.microsoft.com/office/drawing/2010/slicer">
              <sle:slicer xmlns:sle="http://schemas.microsoft.com/office/drawing/2010/slicer" name="Department - Designation 1"/>
            </a:graphicData>
          </a:graphic>
        </xdr:graphicFrame>
      </mc:Choice>
      <mc:Fallback xmlns="">
        <xdr:sp macro="" textlink="">
          <xdr:nvSpPr>
            <xdr:cNvPr id="0" name=""/>
            <xdr:cNvSpPr>
              <a:spLocks noTextEdit="1"/>
            </xdr:cNvSpPr>
          </xdr:nvSpPr>
          <xdr:spPr>
            <a:xfrm>
              <a:off x="15133686" y="73517"/>
              <a:ext cx="2098477" cy="3397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589642</xdr:colOff>
      <xdr:row>18</xdr:row>
      <xdr:rowOff>19228</xdr:rowOff>
    </xdr:from>
    <xdr:to>
      <xdr:col>27</xdr:col>
      <xdr:colOff>41638</xdr:colOff>
      <xdr:row>34</xdr:row>
      <xdr:rowOff>77842</xdr:rowOff>
    </xdr:to>
    <mc:AlternateContent xmlns:mc="http://schemas.openxmlformats.org/markup-compatibility/2006" xmlns:a14="http://schemas.microsoft.com/office/drawing/2010/main">
      <mc:Choice Requires="a14">
        <xdr:graphicFrame macro="">
          <xdr:nvGraphicFramePr>
            <xdr:cNvPr id="29" name="Months (Loan Application Date) 1">
              <a:extLst>
                <a:ext uri="{FF2B5EF4-FFF2-40B4-BE49-F238E27FC236}">
                  <a16:creationId xmlns:a16="http://schemas.microsoft.com/office/drawing/2014/main" id="{67F45EF2-E121-4509-8BBD-C1136384CC06}"/>
                </a:ext>
              </a:extLst>
            </xdr:cNvPr>
            <xdr:cNvGraphicFramePr/>
          </xdr:nvGraphicFramePr>
          <xdr:xfrm>
            <a:off x="0" y="0"/>
            <a:ext cx="0" cy="0"/>
          </xdr:xfrm>
          <a:graphic>
            <a:graphicData uri="http://schemas.microsoft.com/office/drawing/2010/slicer">
              <sle:slicer xmlns:sle="http://schemas.microsoft.com/office/drawing/2010/slicer" name="Months (Loan Application Date) 1"/>
            </a:graphicData>
          </a:graphic>
        </xdr:graphicFrame>
      </mc:Choice>
      <mc:Fallback xmlns="">
        <xdr:sp macro="" textlink="">
          <xdr:nvSpPr>
            <xdr:cNvPr id="0" name=""/>
            <xdr:cNvSpPr>
              <a:spLocks noTextEdit="1"/>
            </xdr:cNvSpPr>
          </xdr:nvSpPr>
          <xdr:spPr>
            <a:xfrm>
              <a:off x="15147254" y="3601765"/>
              <a:ext cx="2105727" cy="3243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40973</xdr:colOff>
      <xdr:row>2</xdr:row>
      <xdr:rowOff>195586</xdr:rowOff>
    </xdr:from>
    <xdr:to>
      <xdr:col>9</xdr:col>
      <xdr:colOff>351930</xdr:colOff>
      <xdr:row>15</xdr:row>
      <xdr:rowOff>7649</xdr:rowOff>
    </xdr:to>
    <xdr:graphicFrame macro="">
      <xdr:nvGraphicFramePr>
        <xdr:cNvPr id="2" name="Chart 1">
          <a:extLst>
            <a:ext uri="{FF2B5EF4-FFF2-40B4-BE49-F238E27FC236}">
              <a16:creationId xmlns:a16="http://schemas.microsoft.com/office/drawing/2014/main" id="{119D4092-E577-DCFA-71DF-9A8E98C46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452916</xdr:colOff>
      <xdr:row>3</xdr:row>
      <xdr:rowOff>24634</xdr:rowOff>
    </xdr:from>
    <xdr:to>
      <xdr:col>5</xdr:col>
      <xdr:colOff>1084857</xdr:colOff>
      <xdr:row>16</xdr:row>
      <xdr:rowOff>82473</xdr:rowOff>
    </xdr:to>
    <xdr:graphicFrame macro="">
      <xdr:nvGraphicFramePr>
        <xdr:cNvPr id="7" name="Chart 6">
          <a:extLst>
            <a:ext uri="{FF2B5EF4-FFF2-40B4-BE49-F238E27FC236}">
              <a16:creationId xmlns:a16="http://schemas.microsoft.com/office/drawing/2014/main" id="{13A3D2FC-E04C-0479-3186-9F7F4549F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15455</xdr:colOff>
      <xdr:row>7</xdr:row>
      <xdr:rowOff>40166</xdr:rowOff>
    </xdr:from>
    <xdr:to>
      <xdr:col>1</xdr:col>
      <xdr:colOff>872628</xdr:colOff>
      <xdr:row>13</xdr:row>
      <xdr:rowOff>107109</xdr:rowOff>
    </xdr:to>
    <mc:AlternateContent xmlns:mc="http://schemas.openxmlformats.org/markup-compatibility/2006" xmlns:a14="http://schemas.microsoft.com/office/drawing/2010/main">
      <mc:Choice Requires="a14">
        <xdr:graphicFrame macro="">
          <xdr:nvGraphicFramePr>
            <xdr:cNvPr id="8" name="Loan Type 1">
              <a:extLst>
                <a:ext uri="{FF2B5EF4-FFF2-40B4-BE49-F238E27FC236}">
                  <a16:creationId xmlns:a16="http://schemas.microsoft.com/office/drawing/2014/main" id="{01AF7BBE-BF6F-FCF3-0D51-0B79ED789CA2}"/>
                </a:ext>
              </a:extLst>
            </xdr:cNvPr>
            <xdr:cNvGraphicFramePr/>
          </xdr:nvGraphicFramePr>
          <xdr:xfrm>
            <a:off x="0" y="0"/>
            <a:ext cx="0" cy="0"/>
          </xdr:xfrm>
          <a:graphic>
            <a:graphicData uri="http://schemas.microsoft.com/office/drawing/2010/slicer">
              <sle:slicer xmlns:sle="http://schemas.microsoft.com/office/drawing/2010/slicer" name="Loan Type 1"/>
            </a:graphicData>
          </a:graphic>
        </xdr:graphicFrame>
      </mc:Choice>
      <mc:Fallback xmlns="">
        <xdr:sp macro="" textlink="">
          <xdr:nvSpPr>
            <xdr:cNvPr id="0" name=""/>
            <xdr:cNvSpPr>
              <a:spLocks noTextEdit="1"/>
            </xdr:cNvSpPr>
          </xdr:nvSpPr>
          <xdr:spPr>
            <a:xfrm>
              <a:off x="15455" y="1486130"/>
              <a:ext cx="1828800" cy="130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3038</xdr:rowOff>
    </xdr:from>
    <xdr:to>
      <xdr:col>9</xdr:col>
      <xdr:colOff>1331951</xdr:colOff>
      <xdr:row>30</xdr:row>
      <xdr:rowOff>0</xdr:rowOff>
    </xdr:to>
    <xdr:graphicFrame macro="">
      <xdr:nvGraphicFramePr>
        <xdr:cNvPr id="2" name="Chart 1">
          <a:extLst>
            <a:ext uri="{FF2B5EF4-FFF2-40B4-BE49-F238E27FC236}">
              <a16:creationId xmlns:a16="http://schemas.microsoft.com/office/drawing/2014/main" id="{146D6011-ADA0-6F37-1830-063A7BED5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230909</xdr:colOff>
      <xdr:row>15</xdr:row>
      <xdr:rowOff>182089</xdr:rowOff>
    </xdr:from>
    <xdr:to>
      <xdr:col>11</xdr:col>
      <xdr:colOff>167411</xdr:colOff>
      <xdr:row>22</xdr:row>
      <xdr:rowOff>71169</xdr:rowOff>
    </xdr:to>
    <mc:AlternateContent xmlns:mc="http://schemas.openxmlformats.org/markup-compatibility/2006" xmlns:a14="http://schemas.microsoft.com/office/drawing/2010/main">
      <mc:Choice Requires="a14">
        <xdr:graphicFrame macro="">
          <xdr:nvGraphicFramePr>
            <xdr:cNvPr id="4" name="Loan Type">
              <a:extLst>
                <a:ext uri="{FF2B5EF4-FFF2-40B4-BE49-F238E27FC236}">
                  <a16:creationId xmlns:a16="http://schemas.microsoft.com/office/drawing/2014/main" id="{EF56F887-9731-22AD-5422-2BE75FF16433}"/>
                </a:ext>
              </a:extLst>
            </xdr:cNvPr>
            <xdr:cNvGraphicFramePr/>
          </xdr:nvGraphicFramePr>
          <xdr:xfrm>
            <a:off x="0" y="0"/>
            <a:ext cx="0" cy="0"/>
          </xdr:xfrm>
          <a:graphic>
            <a:graphicData uri="http://schemas.microsoft.com/office/drawing/2010/slicer">
              <sle:slicer xmlns:sle="http://schemas.microsoft.com/office/drawing/2010/slicer" name="Loan Type"/>
            </a:graphicData>
          </a:graphic>
        </xdr:graphicFrame>
      </mc:Choice>
      <mc:Fallback xmlns="">
        <xdr:sp macro="" textlink="">
          <xdr:nvSpPr>
            <xdr:cNvPr id="0" name=""/>
            <xdr:cNvSpPr>
              <a:spLocks noTextEdit="1"/>
            </xdr:cNvSpPr>
          </xdr:nvSpPr>
          <xdr:spPr>
            <a:xfrm>
              <a:off x="9039688" y="3283252"/>
              <a:ext cx="1250804" cy="1336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32988</xdr:colOff>
      <xdr:row>2</xdr:row>
      <xdr:rowOff>28575</xdr:rowOff>
    </xdr:from>
    <xdr:to>
      <xdr:col>11</xdr:col>
      <xdr:colOff>154752</xdr:colOff>
      <xdr:row>15</xdr:row>
      <xdr:rowOff>130175</xdr:rowOff>
    </xdr:to>
    <xdr:graphicFrame macro="">
      <xdr:nvGraphicFramePr>
        <xdr:cNvPr id="5" name="Chart 4">
          <a:extLst>
            <a:ext uri="{FF2B5EF4-FFF2-40B4-BE49-F238E27FC236}">
              <a16:creationId xmlns:a16="http://schemas.microsoft.com/office/drawing/2014/main" id="{C4704CEB-5778-314B-FAB3-6A047550F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199077</xdr:colOff>
      <xdr:row>2</xdr:row>
      <xdr:rowOff>39996</xdr:rowOff>
    </xdr:from>
    <xdr:to>
      <xdr:col>14</xdr:col>
      <xdr:colOff>48656</xdr:colOff>
      <xdr:row>22</xdr:row>
      <xdr:rowOff>65973</xdr:rowOff>
    </xdr:to>
    <mc:AlternateContent xmlns:mc="http://schemas.openxmlformats.org/markup-compatibility/2006" xmlns:a14="http://schemas.microsoft.com/office/drawing/2010/main">
      <mc:Choice Requires="a14">
        <xdr:graphicFrame macro="">
          <xdr:nvGraphicFramePr>
            <xdr:cNvPr id="2" name="Months (Loan Application Date)">
              <a:extLst>
                <a:ext uri="{FF2B5EF4-FFF2-40B4-BE49-F238E27FC236}">
                  <a16:creationId xmlns:a16="http://schemas.microsoft.com/office/drawing/2014/main" id="{9625C54F-F2D9-AE20-0833-92126F86060D}"/>
                </a:ext>
              </a:extLst>
            </xdr:cNvPr>
            <xdr:cNvGraphicFramePr/>
          </xdr:nvGraphicFramePr>
          <xdr:xfrm>
            <a:off x="0" y="0"/>
            <a:ext cx="0" cy="0"/>
          </xdr:xfrm>
          <a:graphic>
            <a:graphicData uri="http://schemas.microsoft.com/office/drawing/2010/slicer">
              <sle:slicer xmlns:sle="http://schemas.microsoft.com/office/drawing/2010/slicer" name="Months (Loan Application Date)"/>
            </a:graphicData>
          </a:graphic>
        </xdr:graphicFrame>
      </mc:Choice>
      <mc:Fallback xmlns="">
        <xdr:sp macro="" textlink="">
          <xdr:nvSpPr>
            <xdr:cNvPr id="0" name=""/>
            <xdr:cNvSpPr>
              <a:spLocks noTextEdit="1"/>
            </xdr:cNvSpPr>
          </xdr:nvSpPr>
          <xdr:spPr>
            <a:xfrm>
              <a:off x="10322158" y="453484"/>
              <a:ext cx="1821033" cy="4160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27215</xdr:colOff>
      <xdr:row>1</xdr:row>
      <xdr:rowOff>197757</xdr:rowOff>
    </xdr:from>
    <xdr:to>
      <xdr:col>17</xdr:col>
      <xdr:colOff>653142</xdr:colOff>
      <xdr:row>22</xdr:row>
      <xdr:rowOff>0</xdr:rowOff>
    </xdr:to>
    <xdr:graphicFrame macro="">
      <xdr:nvGraphicFramePr>
        <xdr:cNvPr id="4" name="Chart 3">
          <a:extLst>
            <a:ext uri="{FF2B5EF4-FFF2-40B4-BE49-F238E27FC236}">
              <a16:creationId xmlns:a16="http://schemas.microsoft.com/office/drawing/2014/main" id="{FD6D8D6B-3309-2B49-77FD-7FE4103D0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17200</xdr:colOff>
      <xdr:row>2</xdr:row>
      <xdr:rowOff>13685</xdr:rowOff>
    </xdr:from>
    <xdr:to>
      <xdr:col>12</xdr:col>
      <xdr:colOff>625797</xdr:colOff>
      <xdr:row>29</xdr:row>
      <xdr:rowOff>0</xdr:rowOff>
    </xdr:to>
    <xdr:graphicFrame macro="">
      <xdr:nvGraphicFramePr>
        <xdr:cNvPr id="3" name="Chart 2">
          <a:extLst>
            <a:ext uri="{FF2B5EF4-FFF2-40B4-BE49-F238E27FC236}">
              <a16:creationId xmlns:a16="http://schemas.microsoft.com/office/drawing/2014/main" id="{65FD9A37-BE30-3F4A-5DF8-DCC465F92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7104</xdr:colOff>
      <xdr:row>2</xdr:row>
      <xdr:rowOff>30905</xdr:rowOff>
    </xdr:from>
    <xdr:to>
      <xdr:col>15</xdr:col>
      <xdr:colOff>517313</xdr:colOff>
      <xdr:row>28</xdr:row>
      <xdr:rowOff>174855</xdr:rowOff>
    </xdr:to>
    <mc:AlternateContent xmlns:mc="http://schemas.openxmlformats.org/markup-compatibility/2006" xmlns:a14="http://schemas.microsoft.com/office/drawing/2010/main">
      <mc:Choice Requires="a14">
        <xdr:graphicFrame macro="">
          <xdr:nvGraphicFramePr>
            <xdr:cNvPr id="4" name="Department - Designation">
              <a:extLst>
                <a:ext uri="{FF2B5EF4-FFF2-40B4-BE49-F238E27FC236}">
                  <a16:creationId xmlns:a16="http://schemas.microsoft.com/office/drawing/2014/main" id="{653E60CC-E5E6-249A-D9B4-A7C0F94EE6AB}"/>
                </a:ext>
              </a:extLst>
            </xdr:cNvPr>
            <xdr:cNvGraphicFramePr/>
          </xdr:nvGraphicFramePr>
          <xdr:xfrm>
            <a:off x="0" y="0"/>
            <a:ext cx="0" cy="0"/>
          </xdr:xfrm>
          <a:graphic>
            <a:graphicData uri="http://schemas.microsoft.com/office/drawing/2010/slicer">
              <sle:slicer xmlns:sle="http://schemas.microsoft.com/office/drawing/2010/slicer" name="Department - Designation"/>
            </a:graphicData>
          </a:graphic>
        </xdr:graphicFrame>
      </mc:Choice>
      <mc:Fallback xmlns="">
        <xdr:sp macro="" textlink="">
          <xdr:nvSpPr>
            <xdr:cNvPr id="0" name=""/>
            <xdr:cNvSpPr>
              <a:spLocks noTextEdit="1"/>
            </xdr:cNvSpPr>
          </xdr:nvSpPr>
          <xdr:spPr>
            <a:xfrm>
              <a:off x="12778653" y="442313"/>
              <a:ext cx="1833871" cy="549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rChowdhury" refreshedDate="46084.733137731484" createdVersion="8" refreshedVersion="8" minRefreshableVersion="3" recordCount="1095" xr:uid="{AA0902C4-FABD-4319-B066-81DFA1958EBF}">
  <cacheSource type="worksheet">
    <worksheetSource ref="A1:I1096" sheet="Raw Data"/>
  </cacheSource>
  <cacheFields count="13">
    <cacheField name="Loan Application Date" numFmtId="14">
      <sharedItems containsSemiMixedTypes="0" containsNonDate="0" containsDate="1" containsString="0" minDate="2020-01-01T00:00:00" maxDate="2020-12-11T00:00:00" count="332">
        <d v="2020-08-26T00:00:00"/>
        <d v="2020-04-24T00:00:00"/>
        <d v="2020-09-25T00:00:00"/>
        <d v="2020-07-20T00:00:00"/>
        <d v="2020-01-17T00:00:00"/>
        <d v="2020-06-15T00:00:00"/>
        <d v="2020-03-29T00:00:00"/>
        <d v="2020-08-20T00:00:00"/>
        <d v="2020-04-05T00:00:00"/>
        <d v="2020-05-01T00:00:00"/>
        <d v="2020-11-23T00:00:00"/>
        <d v="2020-05-26T00:00:00"/>
        <d v="2020-02-04T00:00:00"/>
        <d v="2020-08-29T00:00:00"/>
        <d v="2020-03-11T00:00:00"/>
        <d v="2020-01-07T00:00:00"/>
        <d v="2020-06-03T00:00:00"/>
        <d v="2020-04-13T00:00:00"/>
        <d v="2020-08-15T00:00:00"/>
        <d v="2020-05-11T00:00:00"/>
        <d v="2020-02-07T00:00:00"/>
        <d v="2020-03-02T00:00:00"/>
        <d v="2020-07-30T00:00:00"/>
        <d v="2020-04-26T00:00:00"/>
        <d v="2020-09-07T00:00:00"/>
        <d v="2020-10-28T00:00:00"/>
        <d v="2020-11-10T00:00:00"/>
        <d v="2020-01-03T00:00:00"/>
        <d v="2020-10-31T00:00:00"/>
        <d v="2020-05-08T00:00:00"/>
        <d v="2020-03-04T00:00:00"/>
        <d v="2020-04-08T00:00:00"/>
        <d v="2020-12-10T00:00:00"/>
        <d v="2020-01-27T00:00:00"/>
        <d v="2020-10-15T00:00:00"/>
        <d v="2020-10-19T00:00:00"/>
        <d v="2020-07-10T00:00:00"/>
        <d v="2020-11-21T00:00:00"/>
        <d v="2020-01-06T00:00:00"/>
        <d v="2020-03-14T00:00:00"/>
        <d v="2020-08-08T00:00:00"/>
        <d v="2020-01-19T00:00:00"/>
        <d v="2020-09-05T00:00:00"/>
        <d v="2020-02-29T00:00:00"/>
        <d v="2020-09-01T00:00:00"/>
        <d v="2020-04-14T00:00:00"/>
        <d v="2020-02-22T00:00:00"/>
        <d v="2020-02-16T00:00:00"/>
        <d v="2020-07-19T00:00:00"/>
        <d v="2020-11-07T00:00:00"/>
        <d v="2020-10-08T00:00:00"/>
        <d v="2020-02-21T00:00:00"/>
        <d v="2020-04-12T00:00:00"/>
        <d v="2020-09-12T00:00:00"/>
        <d v="2020-03-26T00:00:00"/>
        <d v="2020-02-09T00:00:00"/>
        <d v="2020-07-12T00:00:00"/>
        <d v="2020-09-16T00:00:00"/>
        <d v="2020-06-18T00:00:00"/>
        <d v="2020-03-13T00:00:00"/>
        <d v="2020-01-20T00:00:00"/>
        <d v="2020-04-16T00:00:00"/>
        <d v="2020-05-14T00:00:00"/>
        <d v="2020-11-09T00:00:00"/>
        <d v="2020-06-01T00:00:00"/>
        <d v="2020-04-04T00:00:00"/>
        <d v="2020-06-08T00:00:00"/>
        <d v="2020-11-17T00:00:00"/>
        <d v="2020-02-18T00:00:00"/>
        <d v="2020-09-26T00:00:00"/>
        <d v="2020-09-14T00:00:00"/>
        <d v="2020-08-03T00:00:00"/>
        <d v="2020-02-11T00:00:00"/>
        <d v="2020-02-19T00:00:00"/>
        <d v="2020-08-24T00:00:00"/>
        <d v="2020-05-12T00:00:00"/>
        <d v="2020-06-16T00:00:00"/>
        <d v="2020-09-28T00:00:00"/>
        <d v="2020-07-17T00:00:00"/>
        <d v="2020-04-01T00:00:00"/>
        <d v="2020-04-03T00:00:00"/>
        <d v="2020-01-30T00:00:00"/>
        <d v="2020-07-26T00:00:00"/>
        <d v="2020-01-08T00:00:00"/>
        <d v="2020-10-25T00:00:00"/>
        <d v="2020-07-24T00:00:00"/>
        <d v="2020-09-27T00:00:00"/>
        <d v="2020-09-03T00:00:00"/>
        <d v="2020-09-10T00:00:00"/>
        <d v="2020-01-05T00:00:00"/>
        <d v="2020-07-18T00:00:00"/>
        <d v="2020-07-06T00:00:00"/>
        <d v="2020-05-07T00:00:00"/>
        <d v="2020-07-02T00:00:00"/>
        <d v="2020-05-17T00:00:00"/>
        <d v="2020-02-28T00:00:00"/>
        <d v="2020-12-03T00:00:00"/>
        <d v="2020-04-06T00:00:00"/>
        <d v="2020-03-09T00:00:00"/>
        <d v="2020-01-04T00:00:00"/>
        <d v="2020-10-22T00:00:00"/>
        <d v="2020-02-14T00:00:00"/>
        <d v="2020-01-14T00:00:00"/>
        <d v="2020-04-27T00:00:00"/>
        <d v="2020-11-12T00:00:00"/>
        <d v="2020-10-20T00:00:00"/>
        <d v="2020-11-29T00:00:00"/>
        <d v="2020-10-09T00:00:00"/>
        <d v="2020-01-10T00:00:00"/>
        <d v="2020-11-11T00:00:00"/>
        <d v="2020-06-13T00:00:00"/>
        <d v="2020-01-09T00:00:00"/>
        <d v="2020-02-13T00:00:00"/>
        <d v="2020-09-09T00:00:00"/>
        <d v="2020-07-28T00:00:00"/>
        <d v="2020-06-21T00:00:00"/>
        <d v="2020-10-06T00:00:00"/>
        <d v="2020-06-17T00:00:00"/>
        <d v="2020-09-23T00:00:00"/>
        <d v="2020-04-17T00:00:00"/>
        <d v="2020-06-28T00:00:00"/>
        <d v="2020-06-07T00:00:00"/>
        <d v="2020-05-19T00:00:00"/>
        <d v="2020-03-07T00:00:00"/>
        <d v="2020-10-27T00:00:00"/>
        <d v="2020-07-04T00:00:00"/>
        <d v="2020-05-25T00:00:00"/>
        <d v="2020-03-18T00:00:00"/>
        <d v="2020-03-24T00:00:00"/>
        <d v="2020-06-10T00:00:00"/>
        <d v="2020-05-21T00:00:00"/>
        <d v="2020-03-16T00:00:00"/>
        <d v="2020-07-25T00:00:00"/>
        <d v="2020-10-24T00:00:00"/>
        <d v="2020-06-20T00:00:00"/>
        <d v="2020-02-17T00:00:00"/>
        <d v="2020-02-02T00:00:00"/>
        <d v="2020-04-09T00:00:00"/>
        <d v="2020-07-23T00:00:00"/>
        <d v="2020-07-31T00:00:00"/>
        <d v="2020-08-07T00:00:00"/>
        <d v="2020-11-02T00:00:00"/>
        <d v="2020-05-02T00:00:00"/>
        <d v="2020-10-29T00:00:00"/>
        <d v="2020-11-08T00:00:00"/>
        <d v="2020-04-25T00:00:00"/>
        <d v="2020-02-06T00:00:00"/>
        <d v="2020-06-05T00:00:00"/>
        <d v="2020-09-17T00:00:00"/>
        <d v="2020-07-14T00:00:00"/>
        <d v="2020-02-03T00:00:00"/>
        <d v="2020-11-30T00:00:00"/>
        <d v="2020-10-16T00:00:00"/>
        <d v="2020-01-12T00:00:00"/>
        <d v="2020-09-19T00:00:00"/>
        <d v="2020-12-01T00:00:00"/>
        <d v="2020-10-23T00:00:00"/>
        <d v="2020-10-21T00:00:00"/>
        <d v="2020-08-17T00:00:00"/>
        <d v="2020-03-15T00:00:00"/>
        <d v="2020-03-27T00:00:00"/>
        <d v="2020-03-25T00:00:00"/>
        <d v="2020-08-14T00:00:00"/>
        <d v="2020-06-02T00:00:00"/>
        <d v="2020-11-19T00:00:00"/>
        <d v="2020-06-23T00:00:00"/>
        <d v="2020-07-16T00:00:00"/>
        <d v="2020-01-28T00:00:00"/>
        <d v="2020-09-08T00:00:00"/>
        <d v="2020-11-13T00:00:00"/>
        <d v="2020-02-24T00:00:00"/>
        <d v="2020-09-21T00:00:00"/>
        <d v="2020-08-01T00:00:00"/>
        <d v="2020-01-22T00:00:00"/>
        <d v="2020-06-29T00:00:00"/>
        <d v="2020-08-27T00:00:00"/>
        <d v="2020-08-22T00:00:00"/>
        <d v="2020-10-04T00:00:00"/>
        <d v="2020-02-12T00:00:00"/>
        <d v="2020-01-01T00:00:00"/>
        <d v="2020-09-22T00:00:00"/>
        <d v="2020-10-13T00:00:00"/>
        <d v="2020-07-13T00:00:00"/>
        <d v="2020-11-26T00:00:00"/>
        <d v="2020-05-13T00:00:00"/>
        <d v="2020-01-24T00:00:00"/>
        <d v="2020-08-10T00:00:00"/>
        <d v="2020-12-08T00:00:00"/>
        <d v="2020-03-30T00:00:00"/>
        <d v="2020-12-07T00:00:00"/>
        <d v="2020-08-05T00:00:00"/>
        <d v="2020-05-31T00:00:00"/>
        <d v="2020-04-19T00:00:00"/>
        <d v="2020-08-13T00:00:00"/>
        <d v="2020-11-14T00:00:00"/>
        <d v="2020-07-15T00:00:00"/>
        <d v="2020-07-09T00:00:00"/>
        <d v="2020-01-18T00:00:00"/>
        <d v="2020-05-22T00:00:00"/>
        <d v="2020-07-29T00:00:00"/>
        <d v="2020-09-02T00:00:00"/>
        <d v="2020-06-19T00:00:00"/>
        <d v="2020-03-20T00:00:00"/>
        <d v="2020-07-22T00:00:00"/>
        <d v="2020-09-06T00:00:00"/>
        <d v="2020-04-18T00:00:00"/>
        <d v="2020-10-26T00:00:00"/>
        <d v="2020-06-12T00:00:00"/>
        <d v="2020-08-04T00:00:00"/>
        <d v="2020-10-01T00:00:00"/>
        <d v="2020-07-05T00:00:00"/>
        <d v="2020-10-12T00:00:00"/>
        <d v="2020-02-26T00:00:00"/>
        <d v="2020-12-05T00:00:00"/>
        <d v="2020-05-20T00:00:00"/>
        <d v="2020-01-15T00:00:00"/>
        <d v="2020-03-06T00:00:00"/>
        <d v="2020-02-08T00:00:00"/>
        <d v="2020-03-22T00:00:00"/>
        <d v="2020-08-02T00:00:00"/>
        <d v="2020-04-22T00:00:00"/>
        <d v="2020-06-26T00:00:00"/>
        <d v="2020-04-30T00:00:00"/>
        <d v="2020-08-11T00:00:00"/>
        <d v="2020-04-28T00:00:00"/>
        <d v="2020-04-07T00:00:00"/>
        <d v="2020-06-09T00:00:00"/>
        <d v="2020-05-06T00:00:00"/>
        <d v="2020-04-23T00:00:00"/>
        <d v="2020-09-04T00:00:00"/>
        <d v="2020-12-09T00:00:00"/>
        <d v="2020-06-14T00:00:00"/>
        <d v="2020-11-16T00:00:00"/>
        <d v="2020-06-22T00:00:00"/>
        <d v="2020-02-05T00:00:00"/>
        <d v="2020-03-01T00:00:00"/>
        <d v="2020-10-18T00:00:00"/>
        <d v="2020-09-30T00:00:00"/>
        <d v="2020-09-24T00:00:00"/>
        <d v="2020-05-29T00:00:00"/>
        <d v="2020-05-24T00:00:00"/>
        <d v="2020-11-24T00:00:00"/>
        <d v="2020-11-20T00:00:00"/>
        <d v="2020-11-28T00:00:00"/>
        <d v="2020-03-03T00:00:00"/>
        <d v="2020-11-25T00:00:00"/>
        <d v="2020-08-19T00:00:00"/>
        <d v="2020-03-17T00:00:00"/>
        <d v="2020-02-15T00:00:00"/>
        <d v="2020-07-21T00:00:00"/>
        <d v="2020-05-05T00:00:00"/>
        <d v="2020-01-31T00:00:00"/>
        <d v="2020-06-30T00:00:00"/>
        <d v="2020-04-11T00:00:00"/>
        <d v="2020-02-27T00:00:00"/>
        <d v="2020-03-12T00:00:00"/>
        <d v="2020-06-11T00:00:00"/>
        <d v="2020-05-30T00:00:00"/>
        <d v="2020-11-22T00:00:00"/>
        <d v="2020-01-25T00:00:00"/>
        <d v="2020-03-28T00:00:00"/>
        <d v="2020-11-27T00:00:00"/>
        <d v="2020-08-30T00:00:00"/>
        <d v="2020-01-21T00:00:00"/>
        <d v="2020-05-04T00:00:00"/>
        <d v="2020-11-05T00:00:00"/>
        <d v="2020-11-06T00:00:00"/>
        <d v="2020-04-02T00:00:00"/>
        <d v="2020-10-02T00:00:00"/>
        <d v="2020-03-10T00:00:00"/>
        <d v="2020-11-03T00:00:00"/>
        <d v="2020-07-08T00:00:00"/>
        <d v="2020-08-06T00:00:00"/>
        <d v="2020-08-23T00:00:00"/>
        <d v="2020-06-04T00:00:00"/>
        <d v="2020-03-23T00:00:00"/>
        <d v="2020-02-20T00:00:00"/>
        <d v="2020-05-28T00:00:00"/>
        <d v="2020-10-30T00:00:00"/>
        <d v="2020-05-23T00:00:00"/>
        <d v="2020-02-01T00:00:00"/>
        <d v="2020-10-10T00:00:00"/>
        <d v="2020-07-11T00:00:00"/>
        <d v="2020-02-23T00:00:00"/>
        <d v="2020-05-16T00:00:00"/>
        <d v="2020-10-03T00:00:00"/>
        <d v="2020-01-13T00:00:00"/>
        <d v="2020-09-18T00:00:00"/>
        <d v="2020-05-09T00:00:00"/>
        <d v="2020-09-13T00:00:00"/>
        <d v="2020-02-25T00:00:00"/>
        <d v="2020-11-18T00:00:00"/>
        <d v="2020-05-27T00:00:00"/>
        <d v="2020-12-06T00:00:00"/>
        <d v="2020-10-11T00:00:00"/>
        <d v="2020-10-17T00:00:00"/>
        <d v="2020-10-07T00:00:00"/>
        <d v="2020-08-16T00:00:00"/>
        <d v="2020-06-06T00:00:00"/>
        <d v="2020-11-15T00:00:00"/>
        <d v="2020-03-21T00:00:00"/>
        <d v="2020-09-20T00:00:00"/>
        <d v="2020-09-11T00:00:00"/>
        <d v="2020-04-29T00:00:00"/>
        <d v="2020-07-27T00:00:00"/>
        <d v="2020-09-15T00:00:00"/>
        <d v="2020-01-26T00:00:00"/>
        <d v="2020-01-29T00:00:00"/>
        <d v="2020-01-02T00:00:00"/>
        <d v="2020-08-12T00:00:00"/>
        <d v="2020-04-21T00:00:00"/>
        <d v="2020-07-07T00:00:00"/>
        <d v="2020-01-16T00:00:00"/>
        <d v="2020-11-04T00:00:00"/>
        <d v="2020-01-23T00:00:00"/>
        <d v="2020-08-31T00:00:00"/>
        <d v="2020-02-10T00:00:00"/>
        <d v="2020-03-19T00:00:00"/>
        <d v="2020-06-27T00:00:00"/>
        <d v="2020-04-10T00:00:00"/>
        <d v="2020-03-05T00:00:00"/>
        <d v="2020-12-04T00:00:00"/>
        <d v="2020-04-15T00:00:00"/>
        <d v="2020-03-08T00:00:00"/>
        <d v="2020-12-02T00:00:00"/>
        <d v="2020-05-15T00:00:00"/>
        <d v="2020-05-03T00:00:00"/>
        <d v="2020-08-25T00:00:00"/>
        <d v="2020-03-31T00:00:00"/>
        <d v="2020-05-18T00:00:00"/>
        <d v="2020-09-29T00:00:00"/>
        <d v="2020-08-18T00:00:00"/>
      </sharedItems>
      <fieldGroup par="12"/>
    </cacheField>
    <cacheField name="CustomerID" numFmtId="0">
      <sharedItems containsSemiMixedTypes="0" containsString="0" containsNumber="1" containsInteger="1" minValue="10248" maxValue="99963"/>
    </cacheField>
    <cacheField name="Department - Designation" numFmtId="0">
      <sharedItems count="24">
        <s v="Marketing - Director"/>
        <s v="Operation - Executive"/>
        <s v="Marketing - Executive"/>
        <s v="Growth - Manager"/>
        <s v="Marketing - Manager"/>
        <s v="Operation - Manager"/>
        <s v="Strategy - Executive"/>
        <s v="Marketing - Intern"/>
        <s v="Strategy - Intern"/>
        <s v="Sales - Manager"/>
        <s v="Strategy - Manager"/>
        <s v="Operation - Intern"/>
        <s v="Growth - Director"/>
        <s v="Sales - Director"/>
        <s v="Operation - Director"/>
        <s v="Finance - Intern"/>
        <s v="Finance - Executive"/>
        <s v="Sales - Executive"/>
        <s v="Finance - Director"/>
        <s v="Growth - Intern"/>
        <s v="Sales - Intern"/>
        <s v="Strategy - Director"/>
        <s v="Finance - Manager"/>
        <s v="Growth - Executive"/>
      </sharedItems>
    </cacheField>
    <cacheField name="Credit Score" numFmtId="0">
      <sharedItems containsSemiMixedTypes="0" containsString="0" containsNumber="1" containsInteger="1" minValue="700" maxValue="800"/>
    </cacheField>
    <cacheField name="Past Loans" numFmtId="0">
      <sharedItems containsSemiMixedTypes="0" containsString="0" containsNumber="1" containsInteger="1" minValue="1" maxValue="5"/>
    </cacheField>
    <cacheField name="Emi Defaults" numFmtId="0">
      <sharedItems containsSemiMixedTypes="0" containsString="0" containsNumber="1" containsInteger="1" minValue="1" maxValue="10"/>
    </cacheField>
    <cacheField name="Date of Birth" numFmtId="14">
      <sharedItems containsSemiMixedTypes="0" containsNonDate="0" containsDate="1" containsString="0" minDate="1980-01-11T00:00:00" maxDate="1994-12-29T00:00:00"/>
    </cacheField>
    <cacheField name="New Loan Application amount" numFmtId="0">
      <sharedItems containsSemiMixedTypes="0" containsString="0" containsNumber="1" containsInteger="1" minValue="501499" maxValue="999597"/>
    </cacheField>
    <cacheField name="Loan Type" numFmtId="0">
      <sharedItems count="3">
        <s v="Education"/>
        <s v="Personal"/>
        <s v="Car"/>
      </sharedItems>
    </cacheField>
    <cacheField name="Default Rate" numFmtId="0" formula="'Emi Defaults'/'Past Loans'" databaseField="0"/>
    <cacheField name="Percentage" numFmtId="0" formula="'Emi Defaults'/'Past Loans'" databaseField="0"/>
    <cacheField name="Months (Loan Application Date)" numFmtId="0" databaseField="0">
      <fieldGroup base="0">
        <rangePr groupBy="months" startDate="2020-01-01T00:00:00" endDate="2020-12-11T00:00:00"/>
        <groupItems count="14">
          <s v="&lt;01-01-2020"/>
          <s v="Jan"/>
          <s v="Feb"/>
          <s v="Mar"/>
          <s v="Apr"/>
          <s v="May"/>
          <s v="Jun"/>
          <s v="Jul"/>
          <s v="Aug"/>
          <s v="Sep"/>
          <s v="Oct"/>
          <s v="Nov"/>
          <s v="Dec"/>
          <s v="&gt;11-12-2020"/>
        </groupItems>
      </fieldGroup>
    </cacheField>
    <cacheField name="Years (Loan Application Date)" numFmtId="0" databaseField="0">
      <fieldGroup base="0">
        <rangePr groupBy="years" startDate="2020-01-01T00:00:00" endDate="2020-12-11T00:00:00"/>
        <groupItems count="3">
          <s v="&lt;01-01-2020"/>
          <s v="2020"/>
          <s v="&gt;11-12-2020"/>
        </groupItems>
      </fieldGroup>
    </cacheField>
  </cacheFields>
  <extLst>
    <ext xmlns:x14="http://schemas.microsoft.com/office/spreadsheetml/2009/9/main" uri="{725AE2AE-9491-48be-B2B4-4EB974FC3084}">
      <x14:pivotCacheDefinition pivotCacheId="7554686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x v="0"/>
    <n v="91270"/>
    <x v="0"/>
    <n v="700"/>
    <n v="3"/>
    <n v="5"/>
    <d v="1988-10-20T00:00:00"/>
    <n v="724892"/>
    <x v="0"/>
  </r>
  <r>
    <x v="1"/>
    <n v="19419"/>
    <x v="1"/>
    <n v="738"/>
    <n v="1"/>
    <n v="10"/>
    <d v="1990-05-16T00:00:00"/>
    <n v="619419"/>
    <x v="0"/>
  </r>
  <r>
    <x v="2"/>
    <n v="33678"/>
    <x v="2"/>
    <n v="797"/>
    <n v="5"/>
    <n v="9"/>
    <d v="1992-01-14T00:00:00"/>
    <n v="546715"/>
    <x v="0"/>
  </r>
  <r>
    <x v="3"/>
    <n v="66356"/>
    <x v="3"/>
    <n v="798"/>
    <n v="1"/>
    <n v="3"/>
    <d v="1986-09-25T00:00:00"/>
    <n v="591212"/>
    <x v="1"/>
  </r>
  <r>
    <x v="4"/>
    <n v="85241"/>
    <x v="4"/>
    <n v="712"/>
    <n v="2"/>
    <n v="2"/>
    <d v="1993-02-19T00:00:00"/>
    <n v="853015"/>
    <x v="0"/>
  </r>
  <r>
    <x v="5"/>
    <n v="83733"/>
    <x v="5"/>
    <n v="783"/>
    <n v="4"/>
    <n v="3"/>
    <d v="1984-08-17T00:00:00"/>
    <n v="873595"/>
    <x v="2"/>
  </r>
  <r>
    <x v="6"/>
    <n v="40255"/>
    <x v="6"/>
    <n v="725"/>
    <n v="1"/>
    <n v="5"/>
    <d v="1983-04-14T00:00:00"/>
    <n v="779732"/>
    <x v="2"/>
  </r>
  <r>
    <x v="7"/>
    <n v="23150"/>
    <x v="7"/>
    <n v="795"/>
    <n v="3"/>
    <n v="1"/>
    <d v="1992-04-02T00:00:00"/>
    <n v="827502"/>
    <x v="0"/>
  </r>
  <r>
    <x v="8"/>
    <n v="61923"/>
    <x v="8"/>
    <n v="730"/>
    <n v="4"/>
    <n v="2"/>
    <d v="1994-06-07T00:00:00"/>
    <n v="939272"/>
    <x v="0"/>
  </r>
  <r>
    <x v="9"/>
    <n v="32314"/>
    <x v="9"/>
    <n v="711"/>
    <n v="5"/>
    <n v="4"/>
    <d v="1989-08-27T00:00:00"/>
    <n v="748267"/>
    <x v="0"/>
  </r>
  <r>
    <x v="10"/>
    <n v="51904"/>
    <x v="2"/>
    <n v="718"/>
    <n v="4"/>
    <n v="10"/>
    <d v="1991-05-10T00:00:00"/>
    <n v="845409"/>
    <x v="0"/>
  </r>
  <r>
    <x v="11"/>
    <n v="10949"/>
    <x v="10"/>
    <n v="701"/>
    <n v="5"/>
    <n v="4"/>
    <d v="1990-12-04T00:00:00"/>
    <n v="855796"/>
    <x v="0"/>
  </r>
  <r>
    <x v="12"/>
    <n v="42544"/>
    <x v="11"/>
    <n v="776"/>
    <n v="2"/>
    <n v="3"/>
    <d v="1988-09-12T00:00:00"/>
    <n v="558415"/>
    <x v="1"/>
  </r>
  <r>
    <x v="13"/>
    <n v="10892"/>
    <x v="5"/>
    <n v="719"/>
    <n v="2"/>
    <n v="3"/>
    <d v="1986-08-16T00:00:00"/>
    <n v="832131"/>
    <x v="1"/>
  </r>
  <r>
    <x v="14"/>
    <n v="11082"/>
    <x v="12"/>
    <n v="789"/>
    <n v="2"/>
    <n v="4"/>
    <d v="1992-08-05T00:00:00"/>
    <n v="729265"/>
    <x v="0"/>
  </r>
  <r>
    <x v="15"/>
    <n v="23890"/>
    <x v="13"/>
    <n v="800"/>
    <n v="1"/>
    <n v="3"/>
    <d v="1992-12-16T00:00:00"/>
    <n v="689012"/>
    <x v="2"/>
  </r>
  <r>
    <x v="16"/>
    <n v="60179"/>
    <x v="8"/>
    <n v="799"/>
    <n v="5"/>
    <n v="1"/>
    <d v="1992-01-31T00:00:00"/>
    <n v="520227"/>
    <x v="0"/>
  </r>
  <r>
    <x v="17"/>
    <n v="99876"/>
    <x v="4"/>
    <n v="734"/>
    <n v="2"/>
    <n v="9"/>
    <d v="1980-02-22T00:00:00"/>
    <n v="751406"/>
    <x v="2"/>
  </r>
  <r>
    <x v="18"/>
    <n v="35086"/>
    <x v="14"/>
    <n v="745"/>
    <n v="5"/>
    <n v="7"/>
    <d v="1991-08-12T00:00:00"/>
    <n v="960724"/>
    <x v="2"/>
  </r>
  <r>
    <x v="19"/>
    <n v="45939"/>
    <x v="12"/>
    <n v="700"/>
    <n v="3"/>
    <n v="6"/>
    <d v="1988-09-20T00:00:00"/>
    <n v="593047"/>
    <x v="2"/>
  </r>
  <r>
    <x v="20"/>
    <n v="43592"/>
    <x v="6"/>
    <n v="731"/>
    <n v="5"/>
    <n v="5"/>
    <d v="1990-05-31T00:00:00"/>
    <n v="712524"/>
    <x v="2"/>
  </r>
  <r>
    <x v="21"/>
    <n v="77140"/>
    <x v="7"/>
    <n v="783"/>
    <n v="3"/>
    <n v="7"/>
    <d v="1984-07-18T00:00:00"/>
    <n v="562825"/>
    <x v="1"/>
  </r>
  <r>
    <x v="22"/>
    <n v="67126"/>
    <x v="2"/>
    <n v="787"/>
    <n v="1"/>
    <n v="10"/>
    <d v="1987-04-17T00:00:00"/>
    <n v="625401"/>
    <x v="1"/>
  </r>
  <r>
    <x v="23"/>
    <n v="19794"/>
    <x v="15"/>
    <n v="726"/>
    <n v="1"/>
    <n v="2"/>
    <d v="1985-12-17T00:00:00"/>
    <n v="850151"/>
    <x v="2"/>
  </r>
  <r>
    <x v="24"/>
    <n v="65225"/>
    <x v="9"/>
    <n v="733"/>
    <n v="2"/>
    <n v="6"/>
    <d v="1980-10-25T00:00:00"/>
    <n v="944492"/>
    <x v="0"/>
  </r>
  <r>
    <x v="25"/>
    <n v="94260"/>
    <x v="12"/>
    <n v="752"/>
    <n v="3"/>
    <n v="7"/>
    <d v="1990-05-14T00:00:00"/>
    <n v="780278"/>
    <x v="2"/>
  </r>
  <r>
    <x v="26"/>
    <n v="53504"/>
    <x v="16"/>
    <n v="721"/>
    <n v="3"/>
    <n v="3"/>
    <d v="1994-05-29T00:00:00"/>
    <n v="543448"/>
    <x v="1"/>
  </r>
  <r>
    <x v="27"/>
    <n v="44329"/>
    <x v="17"/>
    <n v="713"/>
    <n v="5"/>
    <n v="7"/>
    <d v="1980-02-24T00:00:00"/>
    <n v="939519"/>
    <x v="2"/>
  </r>
  <r>
    <x v="28"/>
    <n v="45312"/>
    <x v="17"/>
    <n v="753"/>
    <n v="2"/>
    <n v="6"/>
    <d v="1986-05-21T00:00:00"/>
    <n v="709857"/>
    <x v="0"/>
  </r>
  <r>
    <x v="29"/>
    <n v="67449"/>
    <x v="13"/>
    <n v="739"/>
    <n v="3"/>
    <n v="8"/>
    <d v="1986-03-15T00:00:00"/>
    <n v="531838"/>
    <x v="1"/>
  </r>
  <r>
    <x v="30"/>
    <n v="17977"/>
    <x v="6"/>
    <n v="735"/>
    <n v="2"/>
    <n v="2"/>
    <d v="1994-11-05T00:00:00"/>
    <n v="653325"/>
    <x v="1"/>
  </r>
  <r>
    <x v="31"/>
    <n v="89671"/>
    <x v="10"/>
    <n v="728"/>
    <n v="1"/>
    <n v="6"/>
    <d v="1983-11-22T00:00:00"/>
    <n v="818354"/>
    <x v="1"/>
  </r>
  <r>
    <x v="32"/>
    <n v="38589"/>
    <x v="1"/>
    <n v="779"/>
    <n v="4"/>
    <n v="10"/>
    <d v="1983-08-22T00:00:00"/>
    <n v="614492"/>
    <x v="0"/>
  </r>
  <r>
    <x v="28"/>
    <n v="16060"/>
    <x v="17"/>
    <n v="751"/>
    <n v="3"/>
    <n v="3"/>
    <d v="1989-03-31T00:00:00"/>
    <n v="983519"/>
    <x v="0"/>
  </r>
  <r>
    <x v="20"/>
    <n v="86698"/>
    <x v="8"/>
    <n v="739"/>
    <n v="2"/>
    <n v="3"/>
    <d v="1986-01-13T00:00:00"/>
    <n v="961148"/>
    <x v="0"/>
  </r>
  <r>
    <x v="33"/>
    <n v="83729"/>
    <x v="13"/>
    <n v="797"/>
    <n v="2"/>
    <n v="2"/>
    <d v="1989-11-14T00:00:00"/>
    <n v="734953"/>
    <x v="1"/>
  </r>
  <r>
    <x v="34"/>
    <n v="69797"/>
    <x v="10"/>
    <n v="763"/>
    <n v="5"/>
    <n v="10"/>
    <d v="1987-06-17T00:00:00"/>
    <n v="577102"/>
    <x v="2"/>
  </r>
  <r>
    <x v="35"/>
    <n v="93072"/>
    <x v="9"/>
    <n v="706"/>
    <n v="3"/>
    <n v="10"/>
    <d v="1991-07-19T00:00:00"/>
    <n v="847226"/>
    <x v="0"/>
  </r>
  <r>
    <x v="36"/>
    <n v="78383"/>
    <x v="4"/>
    <n v="743"/>
    <n v="4"/>
    <n v="8"/>
    <d v="1994-08-13T00:00:00"/>
    <n v="580035"/>
    <x v="2"/>
  </r>
  <r>
    <x v="37"/>
    <n v="68415"/>
    <x v="18"/>
    <n v="709"/>
    <n v="4"/>
    <n v="3"/>
    <d v="1990-02-24T00:00:00"/>
    <n v="749893"/>
    <x v="2"/>
  </r>
  <r>
    <x v="38"/>
    <n v="52910"/>
    <x v="19"/>
    <n v="732"/>
    <n v="1"/>
    <n v="7"/>
    <d v="1986-09-02T00:00:00"/>
    <n v="664298"/>
    <x v="2"/>
  </r>
  <r>
    <x v="39"/>
    <n v="20581"/>
    <x v="17"/>
    <n v="720"/>
    <n v="5"/>
    <n v="4"/>
    <d v="1994-02-19T00:00:00"/>
    <n v="530989"/>
    <x v="0"/>
  </r>
  <r>
    <x v="40"/>
    <n v="30426"/>
    <x v="18"/>
    <n v="708"/>
    <n v="3"/>
    <n v="2"/>
    <d v="1982-06-11T00:00:00"/>
    <n v="592934"/>
    <x v="0"/>
  </r>
  <r>
    <x v="41"/>
    <n v="49292"/>
    <x v="8"/>
    <n v="780"/>
    <n v="5"/>
    <n v="8"/>
    <d v="1980-03-31T00:00:00"/>
    <n v="977284"/>
    <x v="0"/>
  </r>
  <r>
    <x v="42"/>
    <n v="94448"/>
    <x v="9"/>
    <n v="745"/>
    <n v="2"/>
    <n v="7"/>
    <d v="1987-09-02T00:00:00"/>
    <n v="972108"/>
    <x v="2"/>
  </r>
  <r>
    <x v="43"/>
    <n v="22500"/>
    <x v="8"/>
    <n v="770"/>
    <n v="2"/>
    <n v="2"/>
    <d v="1984-11-14T00:00:00"/>
    <n v="825108"/>
    <x v="1"/>
  </r>
  <r>
    <x v="44"/>
    <n v="47899"/>
    <x v="10"/>
    <n v="730"/>
    <n v="3"/>
    <n v="7"/>
    <d v="1993-01-25T00:00:00"/>
    <n v="987840"/>
    <x v="0"/>
  </r>
  <r>
    <x v="45"/>
    <n v="75076"/>
    <x v="19"/>
    <n v="784"/>
    <n v="2"/>
    <n v="4"/>
    <d v="1993-02-28T00:00:00"/>
    <n v="663661"/>
    <x v="2"/>
  </r>
  <r>
    <x v="46"/>
    <n v="56315"/>
    <x v="0"/>
    <n v="764"/>
    <n v="4"/>
    <n v="9"/>
    <d v="1980-01-15T00:00:00"/>
    <n v="777563"/>
    <x v="1"/>
  </r>
  <r>
    <x v="47"/>
    <n v="92530"/>
    <x v="0"/>
    <n v="745"/>
    <n v="5"/>
    <n v="5"/>
    <d v="1989-12-02T00:00:00"/>
    <n v="707004"/>
    <x v="2"/>
  </r>
  <r>
    <x v="48"/>
    <n v="57609"/>
    <x v="10"/>
    <n v="725"/>
    <n v="2"/>
    <n v="7"/>
    <d v="1983-01-15T00:00:00"/>
    <n v="631296"/>
    <x v="2"/>
  </r>
  <r>
    <x v="49"/>
    <n v="27949"/>
    <x v="3"/>
    <n v="766"/>
    <n v="3"/>
    <n v="9"/>
    <d v="1989-11-03T00:00:00"/>
    <n v="839227"/>
    <x v="1"/>
  </r>
  <r>
    <x v="50"/>
    <n v="40974"/>
    <x v="14"/>
    <n v="766"/>
    <n v="3"/>
    <n v="1"/>
    <d v="1990-05-07T00:00:00"/>
    <n v="824832"/>
    <x v="2"/>
  </r>
  <r>
    <x v="51"/>
    <n v="13714"/>
    <x v="20"/>
    <n v="764"/>
    <n v="1"/>
    <n v="2"/>
    <d v="1981-02-16T00:00:00"/>
    <n v="723543"/>
    <x v="2"/>
  </r>
  <r>
    <x v="52"/>
    <n v="97726"/>
    <x v="21"/>
    <n v="764"/>
    <n v="5"/>
    <n v="5"/>
    <d v="1994-03-14T00:00:00"/>
    <n v="590718"/>
    <x v="0"/>
  </r>
  <r>
    <x v="53"/>
    <n v="47573"/>
    <x v="22"/>
    <n v="713"/>
    <n v="5"/>
    <n v="2"/>
    <d v="1990-09-18T00:00:00"/>
    <n v="594633"/>
    <x v="2"/>
  </r>
  <r>
    <x v="54"/>
    <n v="74884"/>
    <x v="0"/>
    <n v="747"/>
    <n v="3"/>
    <n v="1"/>
    <d v="1988-11-26T00:00:00"/>
    <n v="593509"/>
    <x v="1"/>
  </r>
  <r>
    <x v="55"/>
    <n v="76428"/>
    <x v="19"/>
    <n v="765"/>
    <n v="5"/>
    <n v="7"/>
    <d v="1981-09-09T00:00:00"/>
    <n v="783116"/>
    <x v="2"/>
  </r>
  <r>
    <x v="56"/>
    <n v="50387"/>
    <x v="3"/>
    <n v="730"/>
    <n v="3"/>
    <n v="10"/>
    <d v="1985-02-18T00:00:00"/>
    <n v="529032"/>
    <x v="1"/>
  </r>
  <r>
    <x v="57"/>
    <n v="12937"/>
    <x v="12"/>
    <n v="793"/>
    <n v="4"/>
    <n v="4"/>
    <d v="1980-07-14T00:00:00"/>
    <n v="872565"/>
    <x v="0"/>
  </r>
  <r>
    <x v="58"/>
    <n v="15616"/>
    <x v="16"/>
    <n v="744"/>
    <n v="4"/>
    <n v="6"/>
    <d v="1986-04-25T00:00:00"/>
    <n v="920076"/>
    <x v="1"/>
  </r>
  <r>
    <x v="59"/>
    <n v="72192"/>
    <x v="14"/>
    <n v="721"/>
    <n v="4"/>
    <n v="10"/>
    <d v="1984-03-04T00:00:00"/>
    <n v="550092"/>
    <x v="1"/>
  </r>
  <r>
    <x v="60"/>
    <n v="49278"/>
    <x v="1"/>
    <n v="766"/>
    <n v="4"/>
    <n v="5"/>
    <d v="1989-06-29T00:00:00"/>
    <n v="930726"/>
    <x v="1"/>
  </r>
  <r>
    <x v="61"/>
    <n v="11412"/>
    <x v="22"/>
    <n v="728"/>
    <n v="2"/>
    <n v="1"/>
    <d v="1992-03-10T00:00:00"/>
    <n v="991788"/>
    <x v="2"/>
  </r>
  <r>
    <x v="62"/>
    <n v="20769"/>
    <x v="7"/>
    <n v="738"/>
    <n v="1"/>
    <n v="10"/>
    <d v="1981-10-30T00:00:00"/>
    <n v="976010"/>
    <x v="1"/>
  </r>
  <r>
    <x v="63"/>
    <n v="74837"/>
    <x v="8"/>
    <n v="743"/>
    <n v="4"/>
    <n v="9"/>
    <d v="1983-10-15T00:00:00"/>
    <n v="902767"/>
    <x v="2"/>
  </r>
  <r>
    <x v="64"/>
    <n v="58946"/>
    <x v="20"/>
    <n v="746"/>
    <n v="1"/>
    <n v="10"/>
    <d v="1994-03-20T00:00:00"/>
    <n v="608505"/>
    <x v="1"/>
  </r>
  <r>
    <x v="44"/>
    <n v="55374"/>
    <x v="10"/>
    <n v="732"/>
    <n v="5"/>
    <n v="4"/>
    <d v="1983-12-21T00:00:00"/>
    <n v="628484"/>
    <x v="2"/>
  </r>
  <r>
    <x v="64"/>
    <n v="86884"/>
    <x v="13"/>
    <n v="757"/>
    <n v="4"/>
    <n v="4"/>
    <d v="1980-01-31T00:00:00"/>
    <n v="768611"/>
    <x v="2"/>
  </r>
  <r>
    <x v="60"/>
    <n v="77116"/>
    <x v="12"/>
    <n v="733"/>
    <n v="5"/>
    <n v="7"/>
    <d v="1986-04-21T00:00:00"/>
    <n v="931758"/>
    <x v="0"/>
  </r>
  <r>
    <x v="65"/>
    <n v="54328"/>
    <x v="9"/>
    <n v="774"/>
    <n v="1"/>
    <n v="5"/>
    <d v="1991-08-06T00:00:00"/>
    <n v="768131"/>
    <x v="2"/>
  </r>
  <r>
    <x v="66"/>
    <n v="63547"/>
    <x v="11"/>
    <n v="724"/>
    <n v="5"/>
    <n v="8"/>
    <d v="1981-08-08T00:00:00"/>
    <n v="512571"/>
    <x v="1"/>
  </r>
  <r>
    <x v="24"/>
    <n v="56877"/>
    <x v="20"/>
    <n v="790"/>
    <n v="5"/>
    <n v="2"/>
    <d v="1990-06-20T00:00:00"/>
    <n v="512991"/>
    <x v="1"/>
  </r>
  <r>
    <x v="67"/>
    <n v="66242"/>
    <x v="22"/>
    <n v="748"/>
    <n v="3"/>
    <n v="5"/>
    <d v="1987-03-25T00:00:00"/>
    <n v="601028"/>
    <x v="0"/>
  </r>
  <r>
    <x v="20"/>
    <n v="74992"/>
    <x v="15"/>
    <n v="731"/>
    <n v="1"/>
    <n v="5"/>
    <d v="1980-12-03T00:00:00"/>
    <n v="558284"/>
    <x v="1"/>
  </r>
  <r>
    <x v="68"/>
    <n v="48915"/>
    <x v="16"/>
    <n v="773"/>
    <n v="4"/>
    <n v="3"/>
    <d v="1991-08-03T00:00:00"/>
    <n v="597560"/>
    <x v="2"/>
  </r>
  <r>
    <x v="69"/>
    <n v="83579"/>
    <x v="6"/>
    <n v="734"/>
    <n v="2"/>
    <n v="5"/>
    <d v="1983-04-14T00:00:00"/>
    <n v="619497"/>
    <x v="2"/>
  </r>
  <r>
    <x v="70"/>
    <n v="48472"/>
    <x v="22"/>
    <n v="771"/>
    <n v="1"/>
    <n v="10"/>
    <d v="1990-08-28T00:00:00"/>
    <n v="662102"/>
    <x v="2"/>
  </r>
  <r>
    <x v="71"/>
    <n v="19947"/>
    <x v="21"/>
    <n v="746"/>
    <n v="2"/>
    <n v="9"/>
    <d v="1982-03-14T00:00:00"/>
    <n v="709243"/>
    <x v="0"/>
  </r>
  <r>
    <x v="72"/>
    <n v="10383"/>
    <x v="13"/>
    <n v="716"/>
    <n v="1"/>
    <n v="2"/>
    <d v="1982-06-19T00:00:00"/>
    <n v="877440"/>
    <x v="1"/>
  </r>
  <r>
    <x v="73"/>
    <n v="62651"/>
    <x v="3"/>
    <n v="764"/>
    <n v="1"/>
    <n v="4"/>
    <d v="1990-05-15T00:00:00"/>
    <n v="647124"/>
    <x v="2"/>
  </r>
  <r>
    <x v="74"/>
    <n v="55660"/>
    <x v="7"/>
    <n v="748"/>
    <n v="3"/>
    <n v="10"/>
    <d v="1988-01-03T00:00:00"/>
    <n v="664233"/>
    <x v="2"/>
  </r>
  <r>
    <x v="75"/>
    <n v="89724"/>
    <x v="14"/>
    <n v="715"/>
    <n v="2"/>
    <n v="2"/>
    <d v="1981-05-21T00:00:00"/>
    <n v="846857"/>
    <x v="2"/>
  </r>
  <r>
    <x v="76"/>
    <n v="69086"/>
    <x v="12"/>
    <n v="716"/>
    <n v="2"/>
    <n v="6"/>
    <d v="1980-10-27T00:00:00"/>
    <n v="901072"/>
    <x v="1"/>
  </r>
  <r>
    <x v="77"/>
    <n v="69952"/>
    <x v="6"/>
    <n v="744"/>
    <n v="4"/>
    <n v="4"/>
    <d v="1981-10-29T00:00:00"/>
    <n v="545673"/>
    <x v="1"/>
  </r>
  <r>
    <x v="78"/>
    <n v="45582"/>
    <x v="21"/>
    <n v="768"/>
    <n v="1"/>
    <n v="5"/>
    <d v="1983-06-12T00:00:00"/>
    <n v="845330"/>
    <x v="0"/>
  </r>
  <r>
    <x v="79"/>
    <n v="17457"/>
    <x v="8"/>
    <n v="708"/>
    <n v="4"/>
    <n v="8"/>
    <d v="1982-08-12T00:00:00"/>
    <n v="958340"/>
    <x v="1"/>
  </r>
  <r>
    <x v="80"/>
    <n v="56499"/>
    <x v="1"/>
    <n v="720"/>
    <n v="3"/>
    <n v="5"/>
    <d v="1992-02-20T00:00:00"/>
    <n v="528167"/>
    <x v="1"/>
  </r>
  <r>
    <x v="81"/>
    <n v="88555"/>
    <x v="4"/>
    <n v="782"/>
    <n v="4"/>
    <n v="4"/>
    <d v="1992-11-03T00:00:00"/>
    <n v="994288"/>
    <x v="2"/>
  </r>
  <r>
    <x v="82"/>
    <n v="59300"/>
    <x v="1"/>
    <n v="719"/>
    <n v="5"/>
    <n v="2"/>
    <d v="1994-02-22T00:00:00"/>
    <n v="748452"/>
    <x v="0"/>
  </r>
  <r>
    <x v="83"/>
    <n v="32811"/>
    <x v="8"/>
    <n v="744"/>
    <n v="1"/>
    <n v="2"/>
    <d v="1988-03-13T00:00:00"/>
    <n v="810772"/>
    <x v="0"/>
  </r>
  <r>
    <x v="33"/>
    <n v="57864"/>
    <x v="15"/>
    <n v="722"/>
    <n v="2"/>
    <n v="10"/>
    <d v="1987-06-05T00:00:00"/>
    <n v="869126"/>
    <x v="1"/>
  </r>
  <r>
    <x v="84"/>
    <n v="42296"/>
    <x v="18"/>
    <n v="779"/>
    <n v="4"/>
    <n v="9"/>
    <d v="1994-07-14T00:00:00"/>
    <n v="949497"/>
    <x v="1"/>
  </r>
  <r>
    <x v="16"/>
    <n v="36555"/>
    <x v="19"/>
    <n v="729"/>
    <n v="4"/>
    <n v="3"/>
    <d v="1987-03-23T00:00:00"/>
    <n v="532713"/>
    <x v="2"/>
  </r>
  <r>
    <x v="85"/>
    <n v="54605"/>
    <x v="13"/>
    <n v="722"/>
    <n v="1"/>
    <n v="4"/>
    <d v="1980-01-24T00:00:00"/>
    <n v="535651"/>
    <x v="0"/>
  </r>
  <r>
    <x v="86"/>
    <n v="49521"/>
    <x v="9"/>
    <n v="708"/>
    <n v="5"/>
    <n v="7"/>
    <d v="1992-09-30T00:00:00"/>
    <n v="884550"/>
    <x v="1"/>
  </r>
  <r>
    <x v="61"/>
    <n v="54156"/>
    <x v="10"/>
    <n v="774"/>
    <n v="5"/>
    <n v="2"/>
    <d v="1981-07-05T00:00:00"/>
    <n v="513087"/>
    <x v="2"/>
  </r>
  <r>
    <x v="87"/>
    <n v="10717"/>
    <x v="0"/>
    <n v="745"/>
    <n v="5"/>
    <n v="6"/>
    <d v="1989-08-07T00:00:00"/>
    <n v="690906"/>
    <x v="2"/>
  </r>
  <r>
    <x v="30"/>
    <n v="97072"/>
    <x v="16"/>
    <n v="745"/>
    <n v="4"/>
    <n v="3"/>
    <d v="1981-04-26T00:00:00"/>
    <n v="636392"/>
    <x v="1"/>
  </r>
  <r>
    <x v="88"/>
    <n v="46597"/>
    <x v="18"/>
    <n v="769"/>
    <n v="1"/>
    <n v="10"/>
    <d v="1993-08-09T00:00:00"/>
    <n v="965467"/>
    <x v="1"/>
  </r>
  <r>
    <x v="89"/>
    <n v="66429"/>
    <x v="17"/>
    <n v="795"/>
    <n v="4"/>
    <n v="5"/>
    <d v="1990-05-30T00:00:00"/>
    <n v="818286"/>
    <x v="0"/>
  </r>
  <r>
    <x v="90"/>
    <n v="28804"/>
    <x v="14"/>
    <n v="706"/>
    <n v="1"/>
    <n v="6"/>
    <d v="1992-05-23T00:00:00"/>
    <n v="820800"/>
    <x v="1"/>
  </r>
  <r>
    <x v="91"/>
    <n v="48253"/>
    <x v="17"/>
    <n v="761"/>
    <n v="1"/>
    <n v="6"/>
    <d v="1984-09-13T00:00:00"/>
    <n v="541102"/>
    <x v="0"/>
  </r>
  <r>
    <x v="92"/>
    <n v="58888"/>
    <x v="21"/>
    <n v="753"/>
    <n v="1"/>
    <n v="1"/>
    <d v="1993-08-10T00:00:00"/>
    <n v="760241"/>
    <x v="2"/>
  </r>
  <r>
    <x v="93"/>
    <n v="99278"/>
    <x v="19"/>
    <n v="771"/>
    <n v="3"/>
    <n v="3"/>
    <d v="1993-11-06T00:00:00"/>
    <n v="973518"/>
    <x v="1"/>
  </r>
  <r>
    <x v="29"/>
    <n v="67882"/>
    <x v="6"/>
    <n v="762"/>
    <n v="3"/>
    <n v="6"/>
    <d v="1985-10-30T00:00:00"/>
    <n v="916078"/>
    <x v="2"/>
  </r>
  <r>
    <x v="94"/>
    <n v="12249"/>
    <x v="9"/>
    <n v="722"/>
    <n v="1"/>
    <n v="4"/>
    <d v="1987-12-12T00:00:00"/>
    <n v="518896"/>
    <x v="2"/>
  </r>
  <r>
    <x v="40"/>
    <n v="29846"/>
    <x v="13"/>
    <n v="771"/>
    <n v="4"/>
    <n v="8"/>
    <d v="1984-09-29T00:00:00"/>
    <n v="789241"/>
    <x v="2"/>
  </r>
  <r>
    <x v="95"/>
    <n v="63308"/>
    <x v="3"/>
    <n v="784"/>
    <n v="2"/>
    <n v="1"/>
    <d v="1993-04-13T00:00:00"/>
    <n v="535794"/>
    <x v="1"/>
  </r>
  <r>
    <x v="96"/>
    <n v="77364"/>
    <x v="4"/>
    <n v="700"/>
    <n v="2"/>
    <n v="5"/>
    <d v="1986-07-18T00:00:00"/>
    <n v="859981"/>
    <x v="0"/>
  </r>
  <r>
    <x v="97"/>
    <n v="81750"/>
    <x v="12"/>
    <n v="741"/>
    <n v="4"/>
    <n v="2"/>
    <d v="1988-06-29T00:00:00"/>
    <n v="650549"/>
    <x v="2"/>
  </r>
  <r>
    <x v="98"/>
    <n v="99508"/>
    <x v="0"/>
    <n v="727"/>
    <n v="5"/>
    <n v="6"/>
    <d v="1985-07-29T00:00:00"/>
    <n v="742478"/>
    <x v="2"/>
  </r>
  <r>
    <x v="99"/>
    <n v="80762"/>
    <x v="1"/>
    <n v="721"/>
    <n v="1"/>
    <n v="9"/>
    <d v="1987-02-02T00:00:00"/>
    <n v="967982"/>
    <x v="0"/>
  </r>
  <r>
    <x v="100"/>
    <n v="33666"/>
    <x v="11"/>
    <n v="720"/>
    <n v="3"/>
    <n v="3"/>
    <d v="1991-02-25T00:00:00"/>
    <n v="698801"/>
    <x v="0"/>
  </r>
  <r>
    <x v="101"/>
    <n v="89694"/>
    <x v="13"/>
    <n v="744"/>
    <n v="1"/>
    <n v="6"/>
    <d v="1983-01-21T00:00:00"/>
    <n v="657372"/>
    <x v="0"/>
  </r>
  <r>
    <x v="9"/>
    <n v="29920"/>
    <x v="19"/>
    <n v="741"/>
    <n v="4"/>
    <n v="5"/>
    <d v="1981-12-25T00:00:00"/>
    <n v="732457"/>
    <x v="1"/>
  </r>
  <r>
    <x v="102"/>
    <n v="32451"/>
    <x v="1"/>
    <n v="733"/>
    <n v="1"/>
    <n v="5"/>
    <d v="1980-07-09T00:00:00"/>
    <n v="794281"/>
    <x v="0"/>
  </r>
  <r>
    <x v="103"/>
    <n v="99963"/>
    <x v="6"/>
    <n v="794"/>
    <n v="1"/>
    <n v="5"/>
    <d v="1988-08-13T00:00:00"/>
    <n v="946851"/>
    <x v="2"/>
  </r>
  <r>
    <x v="104"/>
    <n v="37171"/>
    <x v="18"/>
    <n v="765"/>
    <n v="3"/>
    <n v="3"/>
    <d v="1981-09-10T00:00:00"/>
    <n v="889827"/>
    <x v="0"/>
  </r>
  <r>
    <x v="105"/>
    <n v="87310"/>
    <x v="14"/>
    <n v="783"/>
    <n v="2"/>
    <n v="3"/>
    <d v="1986-11-30T00:00:00"/>
    <n v="807124"/>
    <x v="0"/>
  </r>
  <r>
    <x v="106"/>
    <n v="96889"/>
    <x v="2"/>
    <n v="708"/>
    <n v="3"/>
    <n v="10"/>
    <d v="1981-07-26T00:00:00"/>
    <n v="689583"/>
    <x v="0"/>
  </r>
  <r>
    <x v="107"/>
    <n v="10493"/>
    <x v="12"/>
    <n v="773"/>
    <n v="5"/>
    <n v="3"/>
    <d v="1982-08-16T00:00:00"/>
    <n v="581795"/>
    <x v="1"/>
  </r>
  <r>
    <x v="108"/>
    <n v="80302"/>
    <x v="19"/>
    <n v="725"/>
    <n v="1"/>
    <n v="9"/>
    <d v="1993-03-03T00:00:00"/>
    <n v="833731"/>
    <x v="2"/>
  </r>
  <r>
    <x v="109"/>
    <n v="88284"/>
    <x v="2"/>
    <n v="800"/>
    <n v="1"/>
    <n v="4"/>
    <d v="1984-12-11T00:00:00"/>
    <n v="752765"/>
    <x v="2"/>
  </r>
  <r>
    <x v="110"/>
    <n v="12151"/>
    <x v="7"/>
    <n v="787"/>
    <n v="4"/>
    <n v="9"/>
    <d v="1985-10-17T00:00:00"/>
    <n v="703384"/>
    <x v="0"/>
  </r>
  <r>
    <x v="7"/>
    <n v="82581"/>
    <x v="4"/>
    <n v="755"/>
    <n v="2"/>
    <n v="6"/>
    <d v="1994-12-28T00:00:00"/>
    <n v="660009"/>
    <x v="1"/>
  </r>
  <r>
    <x v="111"/>
    <n v="38948"/>
    <x v="6"/>
    <n v="734"/>
    <n v="1"/>
    <n v="4"/>
    <d v="1980-05-04T00:00:00"/>
    <n v="973182"/>
    <x v="2"/>
  </r>
  <r>
    <x v="93"/>
    <n v="18273"/>
    <x v="4"/>
    <n v="716"/>
    <n v="1"/>
    <n v="8"/>
    <d v="1985-03-28T00:00:00"/>
    <n v="856616"/>
    <x v="2"/>
  </r>
  <r>
    <x v="93"/>
    <n v="24463"/>
    <x v="2"/>
    <n v="758"/>
    <n v="4"/>
    <n v="3"/>
    <d v="1991-03-15T00:00:00"/>
    <n v="606785"/>
    <x v="0"/>
  </r>
  <r>
    <x v="27"/>
    <n v="95176"/>
    <x v="23"/>
    <n v="708"/>
    <n v="3"/>
    <n v="7"/>
    <d v="1994-08-28T00:00:00"/>
    <n v="703577"/>
    <x v="2"/>
  </r>
  <r>
    <x v="112"/>
    <n v="39558"/>
    <x v="1"/>
    <n v="766"/>
    <n v="3"/>
    <n v="4"/>
    <d v="1991-04-22T00:00:00"/>
    <n v="948975"/>
    <x v="0"/>
  </r>
  <r>
    <x v="111"/>
    <n v="93584"/>
    <x v="10"/>
    <n v="709"/>
    <n v="3"/>
    <n v="5"/>
    <d v="1988-08-15T00:00:00"/>
    <n v="715479"/>
    <x v="2"/>
  </r>
  <r>
    <x v="113"/>
    <n v="38017"/>
    <x v="19"/>
    <n v="721"/>
    <n v="3"/>
    <n v="3"/>
    <d v="1994-01-10T00:00:00"/>
    <n v="559126"/>
    <x v="0"/>
  </r>
  <r>
    <x v="44"/>
    <n v="91310"/>
    <x v="13"/>
    <n v="783"/>
    <n v="4"/>
    <n v="7"/>
    <d v="1981-09-28T00:00:00"/>
    <n v="628975"/>
    <x v="2"/>
  </r>
  <r>
    <x v="86"/>
    <n v="75570"/>
    <x v="20"/>
    <n v="724"/>
    <n v="1"/>
    <n v="2"/>
    <d v="1980-07-29T00:00:00"/>
    <n v="724346"/>
    <x v="1"/>
  </r>
  <r>
    <x v="114"/>
    <n v="93524"/>
    <x v="0"/>
    <n v="768"/>
    <n v="3"/>
    <n v="5"/>
    <d v="1987-09-08T00:00:00"/>
    <n v="900713"/>
    <x v="1"/>
  </r>
  <r>
    <x v="115"/>
    <n v="78035"/>
    <x v="12"/>
    <n v="716"/>
    <n v="2"/>
    <n v="2"/>
    <d v="1988-07-17T00:00:00"/>
    <n v="757731"/>
    <x v="0"/>
  </r>
  <r>
    <x v="116"/>
    <n v="90930"/>
    <x v="20"/>
    <n v="742"/>
    <n v="5"/>
    <n v="9"/>
    <d v="1984-10-29T00:00:00"/>
    <n v="862373"/>
    <x v="1"/>
  </r>
  <r>
    <x v="117"/>
    <n v="54049"/>
    <x v="7"/>
    <n v="782"/>
    <n v="2"/>
    <n v="5"/>
    <d v="1980-08-18T00:00:00"/>
    <n v="695038"/>
    <x v="1"/>
  </r>
  <r>
    <x v="118"/>
    <n v="36823"/>
    <x v="14"/>
    <n v="746"/>
    <n v="4"/>
    <n v="3"/>
    <d v="1983-12-19T00:00:00"/>
    <n v="603569"/>
    <x v="2"/>
  </r>
  <r>
    <x v="119"/>
    <n v="84705"/>
    <x v="12"/>
    <n v="790"/>
    <n v="5"/>
    <n v="3"/>
    <d v="1982-04-01T00:00:00"/>
    <n v="819230"/>
    <x v="0"/>
  </r>
  <r>
    <x v="120"/>
    <n v="14796"/>
    <x v="19"/>
    <n v="742"/>
    <n v="2"/>
    <n v="8"/>
    <d v="1994-04-22T00:00:00"/>
    <n v="534072"/>
    <x v="2"/>
  </r>
  <r>
    <x v="121"/>
    <n v="49843"/>
    <x v="3"/>
    <n v="733"/>
    <n v="3"/>
    <n v="4"/>
    <d v="1986-01-28T00:00:00"/>
    <n v="911169"/>
    <x v="0"/>
  </r>
  <r>
    <x v="122"/>
    <n v="70258"/>
    <x v="23"/>
    <n v="736"/>
    <n v="4"/>
    <n v="7"/>
    <d v="1987-03-14T00:00:00"/>
    <n v="665622"/>
    <x v="1"/>
  </r>
  <r>
    <x v="123"/>
    <n v="53621"/>
    <x v="15"/>
    <n v="747"/>
    <n v="2"/>
    <n v="9"/>
    <d v="1992-04-29T00:00:00"/>
    <n v="746291"/>
    <x v="0"/>
  </r>
  <r>
    <x v="107"/>
    <n v="77593"/>
    <x v="18"/>
    <n v="762"/>
    <n v="3"/>
    <n v="5"/>
    <d v="1993-02-24T00:00:00"/>
    <n v="759883"/>
    <x v="2"/>
  </r>
  <r>
    <x v="46"/>
    <n v="84960"/>
    <x v="9"/>
    <n v="732"/>
    <n v="5"/>
    <n v="4"/>
    <d v="1994-05-19T00:00:00"/>
    <n v="737751"/>
    <x v="1"/>
  </r>
  <r>
    <x v="57"/>
    <n v="41108"/>
    <x v="3"/>
    <n v="786"/>
    <n v="4"/>
    <n v="8"/>
    <d v="1988-03-02T00:00:00"/>
    <n v="807001"/>
    <x v="0"/>
  </r>
  <r>
    <x v="118"/>
    <n v="20898"/>
    <x v="1"/>
    <n v="717"/>
    <n v="4"/>
    <n v="9"/>
    <d v="1993-06-04T00:00:00"/>
    <n v="681201"/>
    <x v="0"/>
  </r>
  <r>
    <x v="123"/>
    <n v="83281"/>
    <x v="6"/>
    <n v="709"/>
    <n v="5"/>
    <n v="7"/>
    <d v="1994-03-29T00:00:00"/>
    <n v="740015"/>
    <x v="2"/>
  </r>
  <r>
    <x v="124"/>
    <n v="83373"/>
    <x v="1"/>
    <n v="756"/>
    <n v="2"/>
    <n v="3"/>
    <d v="1992-06-16T00:00:00"/>
    <n v="845107"/>
    <x v="2"/>
  </r>
  <r>
    <x v="125"/>
    <n v="38470"/>
    <x v="16"/>
    <n v="793"/>
    <n v="4"/>
    <n v="7"/>
    <d v="1984-09-04T00:00:00"/>
    <n v="739435"/>
    <x v="0"/>
  </r>
  <r>
    <x v="5"/>
    <n v="30320"/>
    <x v="4"/>
    <n v="798"/>
    <n v="2"/>
    <n v="1"/>
    <d v="1985-01-04T00:00:00"/>
    <n v="857830"/>
    <x v="0"/>
  </r>
  <r>
    <x v="126"/>
    <n v="41106"/>
    <x v="19"/>
    <n v="746"/>
    <n v="2"/>
    <n v="3"/>
    <d v="1994-10-07T00:00:00"/>
    <n v="518202"/>
    <x v="2"/>
  </r>
  <r>
    <x v="14"/>
    <n v="50298"/>
    <x v="14"/>
    <n v="755"/>
    <n v="4"/>
    <n v="5"/>
    <d v="1986-01-16T00:00:00"/>
    <n v="722229"/>
    <x v="2"/>
  </r>
  <r>
    <x v="127"/>
    <n v="18184"/>
    <x v="4"/>
    <n v="703"/>
    <n v="4"/>
    <n v="6"/>
    <d v="1983-11-13T00:00:00"/>
    <n v="993598"/>
    <x v="2"/>
  </r>
  <r>
    <x v="128"/>
    <n v="71263"/>
    <x v="3"/>
    <n v="783"/>
    <n v="1"/>
    <n v="8"/>
    <d v="1992-10-04T00:00:00"/>
    <n v="537747"/>
    <x v="2"/>
  </r>
  <r>
    <x v="29"/>
    <n v="40508"/>
    <x v="4"/>
    <n v="718"/>
    <n v="3"/>
    <n v="1"/>
    <d v="1989-01-24T00:00:00"/>
    <n v="818556"/>
    <x v="2"/>
  </r>
  <r>
    <x v="129"/>
    <n v="31054"/>
    <x v="0"/>
    <n v="708"/>
    <n v="4"/>
    <n v="7"/>
    <d v="1984-02-27T00:00:00"/>
    <n v="692252"/>
    <x v="0"/>
  </r>
  <r>
    <x v="58"/>
    <n v="44940"/>
    <x v="12"/>
    <n v="770"/>
    <n v="5"/>
    <n v="2"/>
    <d v="1992-12-27T00:00:00"/>
    <n v="718232"/>
    <x v="0"/>
  </r>
  <r>
    <x v="130"/>
    <n v="50466"/>
    <x v="14"/>
    <n v="799"/>
    <n v="5"/>
    <n v="5"/>
    <d v="1992-11-11T00:00:00"/>
    <n v="922183"/>
    <x v="1"/>
  </r>
  <r>
    <x v="131"/>
    <n v="82889"/>
    <x v="11"/>
    <n v="725"/>
    <n v="4"/>
    <n v="9"/>
    <d v="1986-02-17T00:00:00"/>
    <n v="824112"/>
    <x v="1"/>
  </r>
  <r>
    <x v="64"/>
    <n v="68268"/>
    <x v="12"/>
    <n v="764"/>
    <n v="5"/>
    <n v="4"/>
    <d v="1987-03-19T00:00:00"/>
    <n v="854960"/>
    <x v="0"/>
  </r>
  <r>
    <x v="9"/>
    <n v="72362"/>
    <x v="14"/>
    <n v="711"/>
    <n v="5"/>
    <n v="8"/>
    <d v="1988-10-21T00:00:00"/>
    <n v="989356"/>
    <x v="1"/>
  </r>
  <r>
    <x v="132"/>
    <n v="10986"/>
    <x v="9"/>
    <n v="789"/>
    <n v="4"/>
    <n v="7"/>
    <d v="1980-10-09T00:00:00"/>
    <n v="868700"/>
    <x v="2"/>
  </r>
  <r>
    <x v="115"/>
    <n v="80405"/>
    <x v="1"/>
    <n v="723"/>
    <n v="2"/>
    <n v="8"/>
    <d v="1982-11-13T00:00:00"/>
    <n v="654491"/>
    <x v="1"/>
  </r>
  <r>
    <x v="133"/>
    <n v="40834"/>
    <x v="15"/>
    <n v="708"/>
    <n v="1"/>
    <n v="5"/>
    <d v="1994-04-04T00:00:00"/>
    <n v="936156"/>
    <x v="0"/>
  </r>
  <r>
    <x v="134"/>
    <n v="61276"/>
    <x v="12"/>
    <n v="796"/>
    <n v="2"/>
    <n v="2"/>
    <d v="1983-09-12T00:00:00"/>
    <n v="902760"/>
    <x v="1"/>
  </r>
  <r>
    <x v="135"/>
    <n v="64597"/>
    <x v="13"/>
    <n v="727"/>
    <n v="3"/>
    <n v="5"/>
    <d v="1989-04-18T00:00:00"/>
    <n v="759509"/>
    <x v="2"/>
  </r>
  <r>
    <x v="115"/>
    <n v="20325"/>
    <x v="2"/>
    <n v="754"/>
    <n v="3"/>
    <n v="4"/>
    <d v="1984-01-25T00:00:00"/>
    <n v="553520"/>
    <x v="0"/>
  </r>
  <r>
    <x v="136"/>
    <n v="69249"/>
    <x v="13"/>
    <n v="757"/>
    <n v="2"/>
    <n v="3"/>
    <d v="1988-02-08T00:00:00"/>
    <n v="929923"/>
    <x v="2"/>
  </r>
  <r>
    <x v="42"/>
    <n v="44270"/>
    <x v="8"/>
    <n v="775"/>
    <n v="1"/>
    <n v="5"/>
    <d v="1986-02-07T00:00:00"/>
    <n v="788221"/>
    <x v="2"/>
  </r>
  <r>
    <x v="137"/>
    <n v="11550"/>
    <x v="0"/>
    <n v="729"/>
    <n v="3"/>
    <n v="4"/>
    <d v="1990-11-12T00:00:00"/>
    <n v="767387"/>
    <x v="1"/>
  </r>
  <r>
    <x v="65"/>
    <n v="43241"/>
    <x v="2"/>
    <n v="719"/>
    <n v="4"/>
    <n v="7"/>
    <d v="1984-08-22T00:00:00"/>
    <n v="898213"/>
    <x v="2"/>
  </r>
  <r>
    <x v="138"/>
    <n v="29545"/>
    <x v="22"/>
    <n v="766"/>
    <n v="3"/>
    <n v="10"/>
    <d v="1987-09-13T00:00:00"/>
    <n v="843659"/>
    <x v="0"/>
  </r>
  <r>
    <x v="91"/>
    <n v="72884"/>
    <x v="2"/>
    <n v="747"/>
    <n v="4"/>
    <n v="2"/>
    <d v="1988-10-14T00:00:00"/>
    <n v="901188"/>
    <x v="0"/>
  </r>
  <r>
    <x v="11"/>
    <n v="13475"/>
    <x v="18"/>
    <n v="800"/>
    <n v="5"/>
    <n v="3"/>
    <d v="1980-01-30T00:00:00"/>
    <n v="578868"/>
    <x v="2"/>
  </r>
  <r>
    <x v="139"/>
    <n v="63362"/>
    <x v="9"/>
    <n v="724"/>
    <n v="5"/>
    <n v="2"/>
    <d v="1993-05-02T00:00:00"/>
    <n v="891505"/>
    <x v="2"/>
  </r>
  <r>
    <x v="55"/>
    <n v="92047"/>
    <x v="15"/>
    <n v="738"/>
    <n v="4"/>
    <n v="8"/>
    <d v="1988-01-07T00:00:00"/>
    <n v="891901"/>
    <x v="1"/>
  </r>
  <r>
    <x v="22"/>
    <n v="56119"/>
    <x v="4"/>
    <n v="729"/>
    <n v="3"/>
    <n v="10"/>
    <d v="1990-02-15T00:00:00"/>
    <n v="801976"/>
    <x v="0"/>
  </r>
  <r>
    <x v="140"/>
    <n v="79806"/>
    <x v="20"/>
    <n v="760"/>
    <n v="3"/>
    <n v="8"/>
    <d v="1987-09-06T00:00:00"/>
    <n v="603480"/>
    <x v="2"/>
  </r>
  <r>
    <x v="60"/>
    <n v="63927"/>
    <x v="22"/>
    <n v="740"/>
    <n v="5"/>
    <n v="5"/>
    <d v="1991-04-11T00:00:00"/>
    <n v="689555"/>
    <x v="1"/>
  </r>
  <r>
    <x v="141"/>
    <n v="73461"/>
    <x v="1"/>
    <n v="763"/>
    <n v="4"/>
    <n v="10"/>
    <d v="1992-09-10T00:00:00"/>
    <n v="675486"/>
    <x v="2"/>
  </r>
  <r>
    <x v="92"/>
    <n v="53939"/>
    <x v="5"/>
    <n v="729"/>
    <n v="5"/>
    <n v="4"/>
    <d v="1989-01-29T00:00:00"/>
    <n v="839023"/>
    <x v="2"/>
  </r>
  <r>
    <x v="142"/>
    <n v="67752"/>
    <x v="23"/>
    <n v="743"/>
    <n v="3"/>
    <n v="9"/>
    <d v="1980-12-18T00:00:00"/>
    <n v="917829"/>
    <x v="0"/>
  </r>
  <r>
    <x v="30"/>
    <n v="98469"/>
    <x v="5"/>
    <n v="796"/>
    <n v="4"/>
    <n v="1"/>
    <d v="1991-04-13T00:00:00"/>
    <n v="861547"/>
    <x v="0"/>
  </r>
  <r>
    <x v="143"/>
    <n v="96055"/>
    <x v="1"/>
    <n v="744"/>
    <n v="2"/>
    <n v="2"/>
    <d v="1985-06-02T00:00:00"/>
    <n v="664025"/>
    <x v="1"/>
  </r>
  <r>
    <x v="144"/>
    <n v="22022"/>
    <x v="15"/>
    <n v="733"/>
    <n v="1"/>
    <n v="3"/>
    <d v="1985-07-24T00:00:00"/>
    <n v="846070"/>
    <x v="1"/>
  </r>
  <r>
    <x v="145"/>
    <n v="41378"/>
    <x v="5"/>
    <n v="786"/>
    <n v="1"/>
    <n v="7"/>
    <d v="1987-09-17T00:00:00"/>
    <n v="878397"/>
    <x v="1"/>
  </r>
  <r>
    <x v="146"/>
    <n v="86426"/>
    <x v="5"/>
    <n v="705"/>
    <n v="2"/>
    <n v="3"/>
    <d v="1982-07-18T00:00:00"/>
    <n v="748370"/>
    <x v="0"/>
  </r>
  <r>
    <x v="125"/>
    <n v="82232"/>
    <x v="16"/>
    <n v="779"/>
    <n v="1"/>
    <n v="7"/>
    <d v="1991-12-28T00:00:00"/>
    <n v="906582"/>
    <x v="1"/>
  </r>
  <r>
    <x v="147"/>
    <n v="79140"/>
    <x v="9"/>
    <n v="728"/>
    <n v="5"/>
    <n v="1"/>
    <d v="1983-10-01T00:00:00"/>
    <n v="613530"/>
    <x v="2"/>
  </r>
  <r>
    <x v="43"/>
    <n v="69241"/>
    <x v="1"/>
    <n v="724"/>
    <n v="2"/>
    <n v="9"/>
    <d v="1990-08-28T00:00:00"/>
    <n v="719344"/>
    <x v="1"/>
  </r>
  <r>
    <x v="148"/>
    <n v="19458"/>
    <x v="17"/>
    <n v="743"/>
    <n v="2"/>
    <n v="8"/>
    <d v="1989-02-16T00:00:00"/>
    <n v="722962"/>
    <x v="2"/>
  </r>
  <r>
    <x v="149"/>
    <n v="77604"/>
    <x v="5"/>
    <n v="724"/>
    <n v="1"/>
    <n v="4"/>
    <d v="1992-06-26T00:00:00"/>
    <n v="749530"/>
    <x v="2"/>
  </r>
  <r>
    <x v="62"/>
    <n v="84072"/>
    <x v="17"/>
    <n v="766"/>
    <n v="4"/>
    <n v="5"/>
    <d v="1989-03-13T00:00:00"/>
    <n v="788515"/>
    <x v="0"/>
  </r>
  <r>
    <x v="32"/>
    <n v="16009"/>
    <x v="19"/>
    <n v="729"/>
    <n v="3"/>
    <n v="9"/>
    <d v="1989-04-23T00:00:00"/>
    <n v="526025"/>
    <x v="0"/>
  </r>
  <r>
    <x v="150"/>
    <n v="85826"/>
    <x v="19"/>
    <n v="754"/>
    <n v="5"/>
    <n v="1"/>
    <d v="1980-03-08T00:00:00"/>
    <n v="747215"/>
    <x v="1"/>
  </r>
  <r>
    <x v="151"/>
    <n v="36067"/>
    <x v="0"/>
    <n v="724"/>
    <n v="2"/>
    <n v="6"/>
    <d v="1985-06-06T00:00:00"/>
    <n v="874441"/>
    <x v="2"/>
  </r>
  <r>
    <x v="36"/>
    <n v="66036"/>
    <x v="15"/>
    <n v="792"/>
    <n v="4"/>
    <n v="7"/>
    <d v="1987-01-18T00:00:00"/>
    <n v="679361"/>
    <x v="2"/>
  </r>
  <r>
    <x v="152"/>
    <n v="41046"/>
    <x v="23"/>
    <n v="734"/>
    <n v="2"/>
    <n v="1"/>
    <d v="1987-07-23T00:00:00"/>
    <n v="509458"/>
    <x v="2"/>
  </r>
  <r>
    <x v="153"/>
    <n v="64623"/>
    <x v="16"/>
    <n v="759"/>
    <n v="1"/>
    <n v="1"/>
    <d v="1986-11-01T00:00:00"/>
    <n v="874108"/>
    <x v="0"/>
  </r>
  <r>
    <x v="148"/>
    <n v="51441"/>
    <x v="3"/>
    <n v="762"/>
    <n v="4"/>
    <n v="6"/>
    <d v="1993-04-18T00:00:00"/>
    <n v="957814"/>
    <x v="0"/>
  </r>
  <r>
    <x v="154"/>
    <n v="92190"/>
    <x v="8"/>
    <n v="734"/>
    <n v="4"/>
    <n v="10"/>
    <d v="1985-07-19T00:00:00"/>
    <n v="587194"/>
    <x v="0"/>
  </r>
  <r>
    <x v="155"/>
    <n v="47213"/>
    <x v="0"/>
    <n v="751"/>
    <n v="3"/>
    <n v="8"/>
    <d v="1986-01-10T00:00:00"/>
    <n v="695601"/>
    <x v="1"/>
  </r>
  <r>
    <x v="156"/>
    <n v="40265"/>
    <x v="0"/>
    <n v="711"/>
    <n v="5"/>
    <n v="6"/>
    <d v="1992-11-09T00:00:00"/>
    <n v="514501"/>
    <x v="0"/>
  </r>
  <r>
    <x v="157"/>
    <n v="49338"/>
    <x v="1"/>
    <n v="746"/>
    <n v="4"/>
    <n v="7"/>
    <d v="1993-04-02T00:00:00"/>
    <n v="809272"/>
    <x v="2"/>
  </r>
  <r>
    <x v="158"/>
    <n v="58998"/>
    <x v="16"/>
    <n v="772"/>
    <n v="2"/>
    <n v="7"/>
    <d v="1984-10-18T00:00:00"/>
    <n v="663270"/>
    <x v="1"/>
  </r>
  <r>
    <x v="27"/>
    <n v="71341"/>
    <x v="20"/>
    <n v="700"/>
    <n v="4"/>
    <n v="8"/>
    <d v="1990-08-11T00:00:00"/>
    <n v="548429"/>
    <x v="1"/>
  </r>
  <r>
    <x v="159"/>
    <n v="13310"/>
    <x v="12"/>
    <n v="750"/>
    <n v="1"/>
    <n v="7"/>
    <d v="1991-03-26T00:00:00"/>
    <n v="878663"/>
    <x v="2"/>
  </r>
  <r>
    <x v="160"/>
    <n v="97483"/>
    <x v="9"/>
    <n v="708"/>
    <n v="3"/>
    <n v="5"/>
    <d v="1992-06-06T00:00:00"/>
    <n v="819768"/>
    <x v="2"/>
  </r>
  <r>
    <x v="43"/>
    <n v="42773"/>
    <x v="17"/>
    <n v="714"/>
    <n v="1"/>
    <n v="3"/>
    <d v="1986-10-03T00:00:00"/>
    <n v="782564"/>
    <x v="1"/>
  </r>
  <r>
    <x v="58"/>
    <n v="47900"/>
    <x v="22"/>
    <n v="713"/>
    <n v="2"/>
    <n v="3"/>
    <d v="1985-10-19T00:00:00"/>
    <n v="789114"/>
    <x v="0"/>
  </r>
  <r>
    <x v="9"/>
    <n v="26257"/>
    <x v="11"/>
    <n v="778"/>
    <n v="3"/>
    <n v="4"/>
    <d v="1993-07-17T00:00:00"/>
    <n v="716401"/>
    <x v="2"/>
  </r>
  <r>
    <x v="161"/>
    <n v="42871"/>
    <x v="16"/>
    <n v="718"/>
    <n v="3"/>
    <n v="7"/>
    <d v="1985-10-11T00:00:00"/>
    <n v="762595"/>
    <x v="1"/>
  </r>
  <r>
    <x v="162"/>
    <n v="56883"/>
    <x v="10"/>
    <n v="725"/>
    <n v="2"/>
    <n v="6"/>
    <d v="1986-07-03T00:00:00"/>
    <n v="870920"/>
    <x v="1"/>
  </r>
  <r>
    <x v="97"/>
    <n v="89773"/>
    <x v="12"/>
    <n v="756"/>
    <n v="3"/>
    <n v="7"/>
    <d v="1988-04-28T00:00:00"/>
    <n v="664462"/>
    <x v="0"/>
  </r>
  <r>
    <x v="163"/>
    <n v="52756"/>
    <x v="5"/>
    <n v="710"/>
    <n v="5"/>
    <n v="9"/>
    <d v="1989-08-18T00:00:00"/>
    <n v="801711"/>
    <x v="1"/>
  </r>
  <r>
    <x v="164"/>
    <n v="45544"/>
    <x v="6"/>
    <n v="739"/>
    <n v="3"/>
    <n v="8"/>
    <d v="1991-03-29T00:00:00"/>
    <n v="904091"/>
    <x v="1"/>
  </r>
  <r>
    <x v="113"/>
    <n v="87871"/>
    <x v="7"/>
    <n v="754"/>
    <n v="5"/>
    <n v="4"/>
    <d v="1983-10-01T00:00:00"/>
    <n v="950799"/>
    <x v="1"/>
  </r>
  <r>
    <x v="165"/>
    <n v="49718"/>
    <x v="23"/>
    <n v="791"/>
    <n v="3"/>
    <n v="6"/>
    <d v="1992-04-17T00:00:00"/>
    <n v="746853"/>
    <x v="1"/>
  </r>
  <r>
    <x v="166"/>
    <n v="95002"/>
    <x v="20"/>
    <n v="768"/>
    <n v="3"/>
    <n v="4"/>
    <d v="1985-02-21T00:00:00"/>
    <n v="804508"/>
    <x v="1"/>
  </r>
  <r>
    <x v="167"/>
    <n v="33261"/>
    <x v="19"/>
    <n v="767"/>
    <n v="2"/>
    <n v="6"/>
    <d v="1994-12-23T00:00:00"/>
    <n v="590668"/>
    <x v="1"/>
  </r>
  <r>
    <x v="30"/>
    <n v="73294"/>
    <x v="14"/>
    <n v="800"/>
    <n v="5"/>
    <n v="3"/>
    <d v="1992-03-06T00:00:00"/>
    <n v="642085"/>
    <x v="2"/>
  </r>
  <r>
    <x v="104"/>
    <n v="48447"/>
    <x v="11"/>
    <n v="753"/>
    <n v="2"/>
    <n v="3"/>
    <d v="1984-03-05T00:00:00"/>
    <n v="827902"/>
    <x v="1"/>
  </r>
  <r>
    <x v="23"/>
    <n v="64135"/>
    <x v="16"/>
    <n v="707"/>
    <n v="5"/>
    <n v="2"/>
    <d v="1983-05-29T00:00:00"/>
    <n v="926909"/>
    <x v="2"/>
  </r>
  <r>
    <x v="168"/>
    <n v="75746"/>
    <x v="2"/>
    <n v="725"/>
    <n v="4"/>
    <n v="8"/>
    <d v="1983-03-13T00:00:00"/>
    <n v="932068"/>
    <x v="0"/>
  </r>
  <r>
    <x v="169"/>
    <n v="59661"/>
    <x v="18"/>
    <n v="743"/>
    <n v="2"/>
    <n v="1"/>
    <d v="1988-07-25T00:00:00"/>
    <n v="680509"/>
    <x v="0"/>
  </r>
  <r>
    <x v="170"/>
    <n v="13915"/>
    <x v="13"/>
    <n v="712"/>
    <n v="2"/>
    <n v="7"/>
    <d v="1980-06-20T00:00:00"/>
    <n v="532527"/>
    <x v="0"/>
  </r>
  <r>
    <x v="112"/>
    <n v="86610"/>
    <x v="9"/>
    <n v="727"/>
    <n v="3"/>
    <n v="9"/>
    <d v="1987-11-22T00:00:00"/>
    <n v="828115"/>
    <x v="0"/>
  </r>
  <r>
    <x v="171"/>
    <n v="57481"/>
    <x v="2"/>
    <n v="798"/>
    <n v="2"/>
    <n v="5"/>
    <d v="1983-04-06T00:00:00"/>
    <n v="964222"/>
    <x v="1"/>
  </r>
  <r>
    <x v="172"/>
    <n v="78269"/>
    <x v="16"/>
    <n v="728"/>
    <n v="5"/>
    <n v="3"/>
    <d v="1981-06-30T00:00:00"/>
    <n v="626846"/>
    <x v="2"/>
  </r>
  <r>
    <x v="173"/>
    <n v="18296"/>
    <x v="2"/>
    <n v="706"/>
    <n v="5"/>
    <n v="9"/>
    <d v="1987-07-25T00:00:00"/>
    <n v="689432"/>
    <x v="1"/>
  </r>
  <r>
    <x v="165"/>
    <n v="10540"/>
    <x v="16"/>
    <n v="792"/>
    <n v="1"/>
    <n v="2"/>
    <d v="1983-11-15T00:00:00"/>
    <n v="845416"/>
    <x v="2"/>
  </r>
  <r>
    <x v="151"/>
    <n v="12777"/>
    <x v="19"/>
    <n v="785"/>
    <n v="2"/>
    <n v="2"/>
    <d v="1990-04-26T00:00:00"/>
    <n v="629797"/>
    <x v="0"/>
  </r>
  <r>
    <x v="88"/>
    <n v="38488"/>
    <x v="10"/>
    <n v="733"/>
    <n v="5"/>
    <n v="6"/>
    <d v="1993-10-21T00:00:00"/>
    <n v="649924"/>
    <x v="1"/>
  </r>
  <r>
    <x v="151"/>
    <n v="96429"/>
    <x v="21"/>
    <n v="800"/>
    <n v="4"/>
    <n v="10"/>
    <d v="1989-03-26T00:00:00"/>
    <n v="604205"/>
    <x v="2"/>
  </r>
  <r>
    <x v="174"/>
    <n v="62361"/>
    <x v="22"/>
    <n v="732"/>
    <n v="2"/>
    <n v="5"/>
    <d v="1986-05-20T00:00:00"/>
    <n v="558654"/>
    <x v="2"/>
  </r>
  <r>
    <x v="175"/>
    <n v="58389"/>
    <x v="22"/>
    <n v="734"/>
    <n v="1"/>
    <n v="7"/>
    <d v="1981-01-08T00:00:00"/>
    <n v="694705"/>
    <x v="2"/>
  </r>
  <r>
    <x v="176"/>
    <n v="18563"/>
    <x v="16"/>
    <n v="730"/>
    <n v="2"/>
    <n v="10"/>
    <d v="1987-08-27T00:00:00"/>
    <n v="566400"/>
    <x v="2"/>
  </r>
  <r>
    <x v="153"/>
    <n v="27941"/>
    <x v="10"/>
    <n v="729"/>
    <n v="1"/>
    <n v="2"/>
    <d v="1983-02-07T00:00:00"/>
    <n v="566128"/>
    <x v="1"/>
  </r>
  <r>
    <x v="177"/>
    <n v="18719"/>
    <x v="14"/>
    <n v="798"/>
    <n v="5"/>
    <n v="1"/>
    <d v="1986-05-12T00:00:00"/>
    <n v="663937"/>
    <x v="0"/>
  </r>
  <r>
    <x v="178"/>
    <n v="66252"/>
    <x v="21"/>
    <n v="720"/>
    <n v="2"/>
    <n v="1"/>
    <d v="1982-06-26T00:00:00"/>
    <n v="998053"/>
    <x v="1"/>
  </r>
  <r>
    <x v="78"/>
    <n v="31301"/>
    <x v="9"/>
    <n v="733"/>
    <n v="1"/>
    <n v="6"/>
    <d v="1993-05-24T00:00:00"/>
    <n v="708004"/>
    <x v="1"/>
  </r>
  <r>
    <x v="179"/>
    <n v="45985"/>
    <x v="20"/>
    <n v="727"/>
    <n v="3"/>
    <n v="2"/>
    <d v="1990-06-29T00:00:00"/>
    <n v="878224"/>
    <x v="1"/>
  </r>
  <r>
    <x v="121"/>
    <n v="73036"/>
    <x v="18"/>
    <n v="756"/>
    <n v="1"/>
    <n v="4"/>
    <d v="1985-10-26T00:00:00"/>
    <n v="522993"/>
    <x v="1"/>
  </r>
  <r>
    <x v="54"/>
    <n v="87856"/>
    <x v="18"/>
    <n v="709"/>
    <n v="1"/>
    <n v="6"/>
    <d v="1994-03-12T00:00:00"/>
    <n v="976648"/>
    <x v="2"/>
  </r>
  <r>
    <x v="180"/>
    <n v="13688"/>
    <x v="12"/>
    <n v="781"/>
    <n v="4"/>
    <n v="10"/>
    <d v="1988-06-20T00:00:00"/>
    <n v="711385"/>
    <x v="2"/>
  </r>
  <r>
    <x v="158"/>
    <n v="59416"/>
    <x v="20"/>
    <n v="735"/>
    <n v="1"/>
    <n v="9"/>
    <d v="1988-08-21T00:00:00"/>
    <n v="893259"/>
    <x v="1"/>
  </r>
  <r>
    <x v="103"/>
    <n v="17176"/>
    <x v="7"/>
    <n v="774"/>
    <n v="1"/>
    <n v="4"/>
    <d v="1984-01-03T00:00:00"/>
    <n v="700475"/>
    <x v="0"/>
  </r>
  <r>
    <x v="37"/>
    <n v="48314"/>
    <x v="4"/>
    <n v="741"/>
    <n v="2"/>
    <n v="5"/>
    <d v="1989-08-09T00:00:00"/>
    <n v="975582"/>
    <x v="1"/>
  </r>
  <r>
    <x v="181"/>
    <n v="40553"/>
    <x v="12"/>
    <n v="714"/>
    <n v="1"/>
    <n v="9"/>
    <d v="1993-04-05T00:00:00"/>
    <n v="666637"/>
    <x v="2"/>
  </r>
  <r>
    <x v="182"/>
    <n v="92451"/>
    <x v="12"/>
    <n v="724"/>
    <n v="1"/>
    <n v="6"/>
    <d v="1987-08-18T00:00:00"/>
    <n v="984971"/>
    <x v="0"/>
  </r>
  <r>
    <x v="183"/>
    <n v="93809"/>
    <x v="21"/>
    <n v="756"/>
    <n v="5"/>
    <n v="2"/>
    <d v="1990-01-11T00:00:00"/>
    <n v="717282"/>
    <x v="0"/>
  </r>
  <r>
    <x v="184"/>
    <n v="96468"/>
    <x v="9"/>
    <n v="795"/>
    <n v="5"/>
    <n v="8"/>
    <d v="1994-01-08T00:00:00"/>
    <n v="738818"/>
    <x v="2"/>
  </r>
  <r>
    <x v="109"/>
    <n v="94057"/>
    <x v="12"/>
    <n v="700"/>
    <n v="3"/>
    <n v="2"/>
    <d v="1989-11-20T00:00:00"/>
    <n v="868936"/>
    <x v="1"/>
  </r>
  <r>
    <x v="33"/>
    <n v="82883"/>
    <x v="17"/>
    <n v="770"/>
    <n v="4"/>
    <n v="2"/>
    <d v="1991-08-20T00:00:00"/>
    <n v="604217"/>
    <x v="1"/>
  </r>
  <r>
    <x v="51"/>
    <n v="66160"/>
    <x v="0"/>
    <n v="752"/>
    <n v="4"/>
    <n v="10"/>
    <d v="1980-12-17T00:00:00"/>
    <n v="911874"/>
    <x v="2"/>
  </r>
  <r>
    <x v="185"/>
    <n v="42358"/>
    <x v="6"/>
    <n v="709"/>
    <n v="5"/>
    <n v="8"/>
    <d v="1985-10-25T00:00:00"/>
    <n v="909738"/>
    <x v="0"/>
  </r>
  <r>
    <x v="27"/>
    <n v="29159"/>
    <x v="18"/>
    <n v="726"/>
    <n v="3"/>
    <n v="5"/>
    <d v="1985-11-24T00:00:00"/>
    <n v="519569"/>
    <x v="1"/>
  </r>
  <r>
    <x v="186"/>
    <n v="69415"/>
    <x v="20"/>
    <n v="733"/>
    <n v="1"/>
    <n v="9"/>
    <d v="1983-07-17T00:00:00"/>
    <n v="999312"/>
    <x v="1"/>
  </r>
  <r>
    <x v="179"/>
    <n v="44131"/>
    <x v="18"/>
    <n v="740"/>
    <n v="4"/>
    <n v="10"/>
    <d v="1981-01-10T00:00:00"/>
    <n v="562764"/>
    <x v="2"/>
  </r>
  <r>
    <x v="100"/>
    <n v="77836"/>
    <x v="3"/>
    <n v="709"/>
    <n v="2"/>
    <n v="4"/>
    <d v="1985-02-23T00:00:00"/>
    <n v="534712"/>
    <x v="0"/>
  </r>
  <r>
    <x v="109"/>
    <n v="96059"/>
    <x v="12"/>
    <n v="710"/>
    <n v="2"/>
    <n v="9"/>
    <d v="1994-12-27T00:00:00"/>
    <n v="694056"/>
    <x v="1"/>
  </r>
  <r>
    <x v="101"/>
    <n v="34538"/>
    <x v="13"/>
    <n v="765"/>
    <n v="2"/>
    <n v="4"/>
    <d v="1985-11-01T00:00:00"/>
    <n v="903357"/>
    <x v="0"/>
  </r>
  <r>
    <x v="187"/>
    <n v="92135"/>
    <x v="3"/>
    <n v="756"/>
    <n v="5"/>
    <n v="7"/>
    <d v="1994-05-23T00:00:00"/>
    <n v="832938"/>
    <x v="2"/>
  </r>
  <r>
    <x v="188"/>
    <n v="15317"/>
    <x v="2"/>
    <n v="759"/>
    <n v="1"/>
    <n v="7"/>
    <d v="1989-12-03T00:00:00"/>
    <n v="662493"/>
    <x v="2"/>
  </r>
  <r>
    <x v="151"/>
    <n v="89382"/>
    <x v="5"/>
    <n v="747"/>
    <n v="2"/>
    <n v="3"/>
    <d v="1983-03-18T00:00:00"/>
    <n v="971686"/>
    <x v="1"/>
  </r>
  <r>
    <x v="153"/>
    <n v="84716"/>
    <x v="4"/>
    <n v="731"/>
    <n v="1"/>
    <n v="8"/>
    <d v="1991-06-20T00:00:00"/>
    <n v="747191"/>
    <x v="1"/>
  </r>
  <r>
    <x v="189"/>
    <n v="79316"/>
    <x v="6"/>
    <n v="731"/>
    <n v="2"/>
    <n v="6"/>
    <d v="1989-08-30T00:00:00"/>
    <n v="739629"/>
    <x v="0"/>
  </r>
  <r>
    <x v="131"/>
    <n v="23154"/>
    <x v="0"/>
    <n v="781"/>
    <n v="5"/>
    <n v="1"/>
    <d v="1989-09-17T00:00:00"/>
    <n v="578137"/>
    <x v="1"/>
  </r>
  <r>
    <x v="45"/>
    <n v="64093"/>
    <x v="2"/>
    <n v="731"/>
    <n v="5"/>
    <n v="8"/>
    <d v="1993-07-29T00:00:00"/>
    <n v="829772"/>
    <x v="1"/>
  </r>
  <r>
    <x v="101"/>
    <n v="79339"/>
    <x v="15"/>
    <n v="733"/>
    <n v="3"/>
    <n v="8"/>
    <d v="1984-06-02T00:00:00"/>
    <n v="863737"/>
    <x v="2"/>
  </r>
  <r>
    <x v="190"/>
    <n v="87135"/>
    <x v="16"/>
    <n v="750"/>
    <n v="2"/>
    <n v="8"/>
    <d v="1991-01-26T00:00:00"/>
    <n v="970202"/>
    <x v="2"/>
  </r>
  <r>
    <x v="188"/>
    <n v="77077"/>
    <x v="17"/>
    <n v="703"/>
    <n v="1"/>
    <n v="2"/>
    <d v="1984-07-17T00:00:00"/>
    <n v="645814"/>
    <x v="0"/>
  </r>
  <r>
    <x v="58"/>
    <n v="44930"/>
    <x v="2"/>
    <n v="791"/>
    <n v="3"/>
    <n v="6"/>
    <d v="1981-09-18T00:00:00"/>
    <n v="537339"/>
    <x v="0"/>
  </r>
  <r>
    <x v="28"/>
    <n v="47921"/>
    <x v="23"/>
    <n v="746"/>
    <n v="1"/>
    <n v="4"/>
    <d v="1988-05-23T00:00:00"/>
    <n v="787731"/>
    <x v="1"/>
  </r>
  <r>
    <x v="191"/>
    <n v="56375"/>
    <x v="12"/>
    <n v="780"/>
    <n v="5"/>
    <n v="4"/>
    <d v="1984-06-19T00:00:00"/>
    <n v="671383"/>
    <x v="0"/>
  </r>
  <r>
    <x v="7"/>
    <n v="52933"/>
    <x v="5"/>
    <n v="712"/>
    <n v="3"/>
    <n v="6"/>
    <d v="1992-08-29T00:00:00"/>
    <n v="947863"/>
    <x v="2"/>
  </r>
  <r>
    <x v="7"/>
    <n v="86869"/>
    <x v="0"/>
    <n v="744"/>
    <n v="4"/>
    <n v="4"/>
    <d v="1992-02-13T00:00:00"/>
    <n v="790279"/>
    <x v="2"/>
  </r>
  <r>
    <x v="45"/>
    <n v="66099"/>
    <x v="17"/>
    <n v="785"/>
    <n v="4"/>
    <n v="2"/>
    <d v="1985-05-30T00:00:00"/>
    <n v="910895"/>
    <x v="1"/>
  </r>
  <r>
    <x v="155"/>
    <n v="86024"/>
    <x v="5"/>
    <n v="715"/>
    <n v="3"/>
    <n v="10"/>
    <d v="1982-09-23T00:00:00"/>
    <n v="866832"/>
    <x v="1"/>
  </r>
  <r>
    <x v="88"/>
    <n v="53822"/>
    <x v="19"/>
    <n v="743"/>
    <n v="1"/>
    <n v="6"/>
    <d v="1994-03-19T00:00:00"/>
    <n v="836120"/>
    <x v="1"/>
  </r>
  <r>
    <x v="118"/>
    <n v="36599"/>
    <x v="19"/>
    <n v="724"/>
    <n v="1"/>
    <n v="1"/>
    <d v="1981-05-23T00:00:00"/>
    <n v="730249"/>
    <x v="2"/>
  </r>
  <r>
    <x v="192"/>
    <n v="34987"/>
    <x v="20"/>
    <n v="741"/>
    <n v="2"/>
    <n v="8"/>
    <d v="1989-06-14T00:00:00"/>
    <n v="730232"/>
    <x v="2"/>
  </r>
  <r>
    <x v="193"/>
    <n v="23301"/>
    <x v="12"/>
    <n v="787"/>
    <n v="3"/>
    <n v="9"/>
    <d v="1987-05-23T00:00:00"/>
    <n v="692055"/>
    <x v="2"/>
  </r>
  <r>
    <x v="142"/>
    <n v="59671"/>
    <x v="13"/>
    <n v="783"/>
    <n v="3"/>
    <n v="4"/>
    <d v="1980-10-27T00:00:00"/>
    <n v="681373"/>
    <x v="0"/>
  </r>
  <r>
    <x v="194"/>
    <n v="35667"/>
    <x v="10"/>
    <n v="769"/>
    <n v="1"/>
    <n v="7"/>
    <d v="1991-10-17T00:00:00"/>
    <n v="609953"/>
    <x v="1"/>
  </r>
  <r>
    <x v="195"/>
    <n v="27554"/>
    <x v="13"/>
    <n v="762"/>
    <n v="1"/>
    <n v="3"/>
    <d v="1980-06-12T00:00:00"/>
    <n v="849306"/>
    <x v="1"/>
  </r>
  <r>
    <x v="72"/>
    <n v="54403"/>
    <x v="9"/>
    <n v="756"/>
    <n v="5"/>
    <n v="10"/>
    <d v="1984-01-03T00:00:00"/>
    <n v="960479"/>
    <x v="1"/>
  </r>
  <r>
    <x v="23"/>
    <n v="82494"/>
    <x v="23"/>
    <n v="793"/>
    <n v="3"/>
    <n v="1"/>
    <d v="1991-10-13T00:00:00"/>
    <n v="817733"/>
    <x v="0"/>
  </r>
  <r>
    <x v="147"/>
    <n v="15362"/>
    <x v="22"/>
    <n v="725"/>
    <n v="5"/>
    <n v="5"/>
    <d v="1985-11-30T00:00:00"/>
    <n v="904232"/>
    <x v="0"/>
  </r>
  <r>
    <x v="196"/>
    <n v="45967"/>
    <x v="14"/>
    <n v="792"/>
    <n v="5"/>
    <n v="5"/>
    <d v="1980-10-06T00:00:00"/>
    <n v="740222"/>
    <x v="1"/>
  </r>
  <r>
    <x v="139"/>
    <n v="33874"/>
    <x v="3"/>
    <n v="755"/>
    <n v="2"/>
    <n v="1"/>
    <d v="1983-12-12T00:00:00"/>
    <n v="585398"/>
    <x v="1"/>
  </r>
  <r>
    <x v="176"/>
    <n v="85159"/>
    <x v="15"/>
    <n v="785"/>
    <n v="3"/>
    <n v="3"/>
    <d v="1994-10-14T00:00:00"/>
    <n v="829309"/>
    <x v="1"/>
  </r>
  <r>
    <x v="95"/>
    <n v="62020"/>
    <x v="18"/>
    <n v="722"/>
    <n v="3"/>
    <n v="2"/>
    <d v="1989-11-16T00:00:00"/>
    <n v="864737"/>
    <x v="0"/>
  </r>
  <r>
    <x v="176"/>
    <n v="90439"/>
    <x v="10"/>
    <n v="765"/>
    <n v="1"/>
    <n v="1"/>
    <d v="1987-03-23T00:00:00"/>
    <n v="598037"/>
    <x v="2"/>
  </r>
  <r>
    <x v="43"/>
    <n v="79432"/>
    <x v="1"/>
    <n v="719"/>
    <n v="5"/>
    <n v="3"/>
    <d v="1982-09-20T00:00:00"/>
    <n v="891905"/>
    <x v="1"/>
  </r>
  <r>
    <x v="197"/>
    <n v="28144"/>
    <x v="18"/>
    <n v="716"/>
    <n v="1"/>
    <n v="3"/>
    <d v="1982-04-27T00:00:00"/>
    <n v="795488"/>
    <x v="0"/>
  </r>
  <r>
    <x v="152"/>
    <n v="49021"/>
    <x v="16"/>
    <n v="751"/>
    <n v="3"/>
    <n v="4"/>
    <d v="1980-03-21T00:00:00"/>
    <n v="755365"/>
    <x v="0"/>
  </r>
  <r>
    <x v="27"/>
    <n v="82597"/>
    <x v="7"/>
    <n v="773"/>
    <n v="2"/>
    <n v="4"/>
    <d v="1993-11-16T00:00:00"/>
    <n v="797216"/>
    <x v="2"/>
  </r>
  <r>
    <x v="198"/>
    <n v="81380"/>
    <x v="17"/>
    <n v="777"/>
    <n v="2"/>
    <n v="8"/>
    <d v="1980-01-11T00:00:00"/>
    <n v="658555"/>
    <x v="0"/>
  </r>
  <r>
    <x v="199"/>
    <n v="49194"/>
    <x v="11"/>
    <n v="757"/>
    <n v="2"/>
    <n v="1"/>
    <d v="1985-10-20T00:00:00"/>
    <n v="573303"/>
    <x v="2"/>
  </r>
  <r>
    <x v="200"/>
    <n v="49005"/>
    <x v="12"/>
    <n v="755"/>
    <n v="5"/>
    <n v="9"/>
    <d v="1980-06-16T00:00:00"/>
    <n v="763557"/>
    <x v="2"/>
  </r>
  <r>
    <x v="201"/>
    <n v="11954"/>
    <x v="16"/>
    <n v="732"/>
    <n v="5"/>
    <n v="4"/>
    <d v="1990-04-17T00:00:00"/>
    <n v="511283"/>
    <x v="2"/>
  </r>
  <r>
    <x v="202"/>
    <n v="68852"/>
    <x v="8"/>
    <n v="743"/>
    <n v="3"/>
    <n v="1"/>
    <d v="1988-11-08T00:00:00"/>
    <n v="547867"/>
    <x v="2"/>
  </r>
  <r>
    <x v="73"/>
    <n v="28748"/>
    <x v="7"/>
    <n v="761"/>
    <n v="3"/>
    <n v="4"/>
    <d v="1994-12-24T00:00:00"/>
    <n v="534236"/>
    <x v="1"/>
  </r>
  <r>
    <x v="203"/>
    <n v="19871"/>
    <x v="15"/>
    <n v="785"/>
    <n v="1"/>
    <n v="4"/>
    <d v="1990-11-05T00:00:00"/>
    <n v="926218"/>
    <x v="2"/>
  </r>
  <r>
    <x v="204"/>
    <n v="82769"/>
    <x v="2"/>
    <n v="772"/>
    <n v="5"/>
    <n v="9"/>
    <d v="1986-12-26T00:00:00"/>
    <n v="996338"/>
    <x v="1"/>
  </r>
  <r>
    <x v="27"/>
    <n v="79925"/>
    <x v="23"/>
    <n v="731"/>
    <n v="2"/>
    <n v="9"/>
    <d v="1987-05-21T00:00:00"/>
    <n v="816389"/>
    <x v="0"/>
  </r>
  <r>
    <x v="205"/>
    <n v="37382"/>
    <x v="17"/>
    <n v="720"/>
    <n v="4"/>
    <n v="1"/>
    <d v="1991-03-18T00:00:00"/>
    <n v="610385"/>
    <x v="0"/>
  </r>
  <r>
    <x v="206"/>
    <n v="47339"/>
    <x v="6"/>
    <n v="775"/>
    <n v="2"/>
    <n v="1"/>
    <d v="1992-02-15T00:00:00"/>
    <n v="722683"/>
    <x v="1"/>
  </r>
  <r>
    <x v="207"/>
    <n v="12361"/>
    <x v="18"/>
    <n v="732"/>
    <n v="3"/>
    <n v="3"/>
    <d v="1993-01-31T00:00:00"/>
    <n v="581560"/>
    <x v="2"/>
  </r>
  <r>
    <x v="191"/>
    <n v="24141"/>
    <x v="5"/>
    <n v="736"/>
    <n v="4"/>
    <n v="10"/>
    <d v="1991-10-17T00:00:00"/>
    <n v="762395"/>
    <x v="2"/>
  </r>
  <r>
    <x v="99"/>
    <n v="12258"/>
    <x v="3"/>
    <n v="724"/>
    <n v="4"/>
    <n v="7"/>
    <d v="1994-08-29T00:00:00"/>
    <n v="799069"/>
    <x v="1"/>
  </r>
  <r>
    <x v="10"/>
    <n v="19675"/>
    <x v="17"/>
    <n v="783"/>
    <n v="4"/>
    <n v="9"/>
    <d v="1989-10-25T00:00:00"/>
    <n v="585265"/>
    <x v="2"/>
  </r>
  <r>
    <x v="208"/>
    <n v="77512"/>
    <x v="0"/>
    <n v="720"/>
    <n v="1"/>
    <n v="3"/>
    <d v="1982-05-17T00:00:00"/>
    <n v="597839"/>
    <x v="2"/>
  </r>
  <r>
    <x v="126"/>
    <n v="27467"/>
    <x v="13"/>
    <n v="733"/>
    <n v="5"/>
    <n v="2"/>
    <d v="1990-07-16T00:00:00"/>
    <n v="964664"/>
    <x v="0"/>
  </r>
  <r>
    <x v="8"/>
    <n v="44997"/>
    <x v="15"/>
    <n v="767"/>
    <n v="4"/>
    <n v="9"/>
    <d v="1992-01-09T00:00:00"/>
    <n v="857804"/>
    <x v="0"/>
  </r>
  <r>
    <x v="66"/>
    <n v="40330"/>
    <x v="14"/>
    <n v="739"/>
    <n v="5"/>
    <n v="10"/>
    <d v="1993-08-07T00:00:00"/>
    <n v="631521"/>
    <x v="2"/>
  </r>
  <r>
    <x v="209"/>
    <n v="57871"/>
    <x v="6"/>
    <n v="728"/>
    <n v="5"/>
    <n v="10"/>
    <d v="1993-09-14T00:00:00"/>
    <n v="534689"/>
    <x v="2"/>
  </r>
  <r>
    <x v="66"/>
    <n v="86532"/>
    <x v="13"/>
    <n v="742"/>
    <n v="2"/>
    <n v="6"/>
    <d v="1990-03-10T00:00:00"/>
    <n v="551344"/>
    <x v="0"/>
  </r>
  <r>
    <x v="210"/>
    <n v="82026"/>
    <x v="9"/>
    <n v="752"/>
    <n v="1"/>
    <n v="3"/>
    <d v="1984-10-18T00:00:00"/>
    <n v="838633"/>
    <x v="0"/>
  </r>
  <r>
    <x v="2"/>
    <n v="71150"/>
    <x v="0"/>
    <n v="742"/>
    <n v="4"/>
    <n v="3"/>
    <d v="1987-11-01T00:00:00"/>
    <n v="905242"/>
    <x v="0"/>
  </r>
  <r>
    <x v="43"/>
    <n v="55651"/>
    <x v="2"/>
    <n v="721"/>
    <n v="5"/>
    <n v="1"/>
    <d v="1981-07-01T00:00:00"/>
    <n v="752313"/>
    <x v="2"/>
  </r>
  <r>
    <x v="113"/>
    <n v="29419"/>
    <x v="23"/>
    <n v="762"/>
    <n v="5"/>
    <n v="1"/>
    <d v="1987-04-10T00:00:00"/>
    <n v="649484"/>
    <x v="2"/>
  </r>
  <r>
    <x v="211"/>
    <n v="87846"/>
    <x v="23"/>
    <n v="729"/>
    <n v="1"/>
    <n v="2"/>
    <d v="1986-12-10T00:00:00"/>
    <n v="849580"/>
    <x v="0"/>
  </r>
  <r>
    <x v="212"/>
    <n v="15144"/>
    <x v="16"/>
    <n v="718"/>
    <n v="5"/>
    <n v="10"/>
    <d v="1986-06-20T00:00:00"/>
    <n v="881938"/>
    <x v="2"/>
  </r>
  <r>
    <x v="195"/>
    <n v="24511"/>
    <x v="8"/>
    <n v="800"/>
    <n v="3"/>
    <n v="7"/>
    <d v="1992-04-02T00:00:00"/>
    <n v="578641"/>
    <x v="0"/>
  </r>
  <r>
    <x v="213"/>
    <n v="55987"/>
    <x v="19"/>
    <n v="707"/>
    <n v="3"/>
    <n v="3"/>
    <d v="1988-11-11T00:00:00"/>
    <n v="516908"/>
    <x v="2"/>
  </r>
  <r>
    <x v="187"/>
    <n v="68095"/>
    <x v="11"/>
    <n v="789"/>
    <n v="1"/>
    <n v="10"/>
    <d v="1981-11-28T00:00:00"/>
    <n v="600981"/>
    <x v="1"/>
  </r>
  <r>
    <x v="45"/>
    <n v="21296"/>
    <x v="20"/>
    <n v="776"/>
    <n v="4"/>
    <n v="6"/>
    <d v="1994-03-01T00:00:00"/>
    <n v="558964"/>
    <x v="1"/>
  </r>
  <r>
    <x v="214"/>
    <n v="90928"/>
    <x v="3"/>
    <n v="732"/>
    <n v="4"/>
    <n v="1"/>
    <d v="1990-04-28T00:00:00"/>
    <n v="554305"/>
    <x v="1"/>
  </r>
  <r>
    <x v="215"/>
    <n v="37262"/>
    <x v="22"/>
    <n v="724"/>
    <n v="4"/>
    <n v="5"/>
    <d v="1989-01-22T00:00:00"/>
    <n v="937359"/>
    <x v="1"/>
  </r>
  <r>
    <x v="34"/>
    <n v="49542"/>
    <x v="5"/>
    <n v="769"/>
    <n v="3"/>
    <n v="3"/>
    <d v="1980-10-09T00:00:00"/>
    <n v="953095"/>
    <x v="1"/>
  </r>
  <r>
    <x v="110"/>
    <n v="19460"/>
    <x v="4"/>
    <n v="711"/>
    <n v="4"/>
    <n v="4"/>
    <d v="1980-06-06T00:00:00"/>
    <n v="832167"/>
    <x v="0"/>
  </r>
  <r>
    <x v="216"/>
    <n v="71591"/>
    <x v="12"/>
    <n v="749"/>
    <n v="3"/>
    <n v="7"/>
    <d v="1983-11-07T00:00:00"/>
    <n v="736748"/>
    <x v="2"/>
  </r>
  <r>
    <x v="4"/>
    <n v="46828"/>
    <x v="1"/>
    <n v="785"/>
    <n v="1"/>
    <n v="2"/>
    <d v="1991-07-03T00:00:00"/>
    <n v="538085"/>
    <x v="0"/>
  </r>
  <r>
    <x v="217"/>
    <n v="11895"/>
    <x v="5"/>
    <n v="759"/>
    <n v="3"/>
    <n v="1"/>
    <d v="1986-06-15T00:00:00"/>
    <n v="822716"/>
    <x v="0"/>
  </r>
  <r>
    <x v="27"/>
    <n v="71328"/>
    <x v="12"/>
    <n v="708"/>
    <n v="2"/>
    <n v="7"/>
    <d v="1990-03-09T00:00:00"/>
    <n v="763608"/>
    <x v="0"/>
  </r>
  <r>
    <x v="218"/>
    <n v="79650"/>
    <x v="12"/>
    <n v="745"/>
    <n v="5"/>
    <n v="3"/>
    <d v="1982-09-18T00:00:00"/>
    <n v="651822"/>
    <x v="2"/>
  </r>
  <r>
    <x v="130"/>
    <n v="38104"/>
    <x v="5"/>
    <n v="799"/>
    <n v="4"/>
    <n v="2"/>
    <d v="1985-03-11T00:00:00"/>
    <n v="630500"/>
    <x v="1"/>
  </r>
  <r>
    <x v="113"/>
    <n v="54538"/>
    <x v="4"/>
    <n v="760"/>
    <n v="1"/>
    <n v="5"/>
    <d v="1980-11-08T00:00:00"/>
    <n v="787402"/>
    <x v="0"/>
  </r>
  <r>
    <x v="219"/>
    <n v="45379"/>
    <x v="12"/>
    <n v="760"/>
    <n v="4"/>
    <n v="6"/>
    <d v="1990-10-21T00:00:00"/>
    <n v="978466"/>
    <x v="2"/>
  </r>
  <r>
    <x v="119"/>
    <n v="33385"/>
    <x v="8"/>
    <n v="784"/>
    <n v="5"/>
    <n v="3"/>
    <d v="1983-01-22T00:00:00"/>
    <n v="968487"/>
    <x v="1"/>
  </r>
  <r>
    <x v="220"/>
    <n v="60123"/>
    <x v="16"/>
    <n v="717"/>
    <n v="4"/>
    <n v="1"/>
    <d v="1984-11-08T00:00:00"/>
    <n v="809815"/>
    <x v="2"/>
  </r>
  <r>
    <x v="221"/>
    <n v="21107"/>
    <x v="9"/>
    <n v="772"/>
    <n v="4"/>
    <n v="3"/>
    <d v="1986-09-15T00:00:00"/>
    <n v="568425"/>
    <x v="2"/>
  </r>
  <r>
    <x v="120"/>
    <n v="11188"/>
    <x v="4"/>
    <n v="737"/>
    <n v="3"/>
    <n v="8"/>
    <d v="1985-07-24T00:00:00"/>
    <n v="726186"/>
    <x v="1"/>
  </r>
  <r>
    <x v="222"/>
    <n v="13164"/>
    <x v="10"/>
    <n v="786"/>
    <n v="5"/>
    <n v="8"/>
    <d v="1982-11-08T00:00:00"/>
    <n v="634419"/>
    <x v="0"/>
  </r>
  <r>
    <x v="29"/>
    <n v="51995"/>
    <x v="6"/>
    <n v="705"/>
    <n v="1"/>
    <n v="10"/>
    <d v="1984-12-29T00:00:00"/>
    <n v="832960"/>
    <x v="2"/>
  </r>
  <r>
    <x v="132"/>
    <n v="30016"/>
    <x v="3"/>
    <n v="788"/>
    <n v="4"/>
    <n v="6"/>
    <d v="1992-11-02T00:00:00"/>
    <n v="818229"/>
    <x v="1"/>
  </r>
  <r>
    <x v="223"/>
    <n v="28479"/>
    <x v="12"/>
    <n v="754"/>
    <n v="2"/>
    <n v="5"/>
    <d v="1984-07-28T00:00:00"/>
    <n v="532656"/>
    <x v="1"/>
  </r>
  <r>
    <x v="71"/>
    <n v="41874"/>
    <x v="9"/>
    <n v="763"/>
    <n v="5"/>
    <n v="2"/>
    <d v="1980-01-28T00:00:00"/>
    <n v="758974"/>
    <x v="0"/>
  </r>
  <r>
    <x v="224"/>
    <n v="74554"/>
    <x v="6"/>
    <n v="789"/>
    <n v="2"/>
    <n v="3"/>
    <d v="1984-08-14T00:00:00"/>
    <n v="810117"/>
    <x v="0"/>
  </r>
  <r>
    <x v="191"/>
    <n v="61483"/>
    <x v="9"/>
    <n v="780"/>
    <n v="1"/>
    <n v="8"/>
    <d v="1993-03-23T00:00:00"/>
    <n v="559031"/>
    <x v="2"/>
  </r>
  <r>
    <x v="165"/>
    <n v="38125"/>
    <x v="0"/>
    <n v="703"/>
    <n v="1"/>
    <n v="9"/>
    <d v="1993-05-06T00:00:00"/>
    <n v="823279"/>
    <x v="2"/>
  </r>
  <r>
    <x v="165"/>
    <n v="20075"/>
    <x v="15"/>
    <n v="751"/>
    <n v="1"/>
    <n v="4"/>
    <d v="1989-07-10T00:00:00"/>
    <n v="686408"/>
    <x v="2"/>
  </r>
  <r>
    <x v="225"/>
    <n v="34089"/>
    <x v="22"/>
    <n v="758"/>
    <n v="1"/>
    <n v="9"/>
    <d v="1989-12-03T00:00:00"/>
    <n v="504344"/>
    <x v="1"/>
  </r>
  <r>
    <x v="68"/>
    <n v="55948"/>
    <x v="18"/>
    <n v="769"/>
    <n v="3"/>
    <n v="10"/>
    <d v="1985-10-31T00:00:00"/>
    <n v="723968"/>
    <x v="0"/>
  </r>
  <r>
    <x v="198"/>
    <n v="68637"/>
    <x v="6"/>
    <n v="759"/>
    <n v="5"/>
    <n v="3"/>
    <d v="1990-12-28T00:00:00"/>
    <n v="761551"/>
    <x v="1"/>
  </r>
  <r>
    <x v="226"/>
    <n v="77021"/>
    <x v="6"/>
    <n v="733"/>
    <n v="4"/>
    <n v="10"/>
    <d v="1991-09-19T00:00:00"/>
    <n v="574112"/>
    <x v="2"/>
  </r>
  <r>
    <x v="227"/>
    <n v="66367"/>
    <x v="13"/>
    <n v="704"/>
    <n v="2"/>
    <n v="7"/>
    <d v="1994-09-26T00:00:00"/>
    <n v="583695"/>
    <x v="1"/>
  </r>
  <r>
    <x v="228"/>
    <n v="41344"/>
    <x v="3"/>
    <n v="744"/>
    <n v="4"/>
    <n v="10"/>
    <d v="1986-07-08T00:00:00"/>
    <n v="538870"/>
    <x v="2"/>
  </r>
  <r>
    <x v="50"/>
    <n v="84420"/>
    <x v="0"/>
    <n v="744"/>
    <n v="4"/>
    <n v="8"/>
    <d v="1994-10-19T00:00:00"/>
    <n v="769396"/>
    <x v="1"/>
  </r>
  <r>
    <x v="229"/>
    <n v="79734"/>
    <x v="16"/>
    <n v="709"/>
    <n v="1"/>
    <n v="1"/>
    <d v="1980-08-11T00:00:00"/>
    <n v="713594"/>
    <x v="1"/>
  </r>
  <r>
    <x v="141"/>
    <n v="12675"/>
    <x v="11"/>
    <n v="764"/>
    <n v="5"/>
    <n v="3"/>
    <d v="1987-07-30T00:00:00"/>
    <n v="773457"/>
    <x v="1"/>
  </r>
  <r>
    <x v="179"/>
    <n v="79116"/>
    <x v="13"/>
    <n v="766"/>
    <n v="3"/>
    <n v="10"/>
    <d v="1989-07-08T00:00:00"/>
    <n v="856437"/>
    <x v="1"/>
  </r>
  <r>
    <x v="168"/>
    <n v="91297"/>
    <x v="22"/>
    <n v="792"/>
    <n v="5"/>
    <n v="8"/>
    <d v="1993-03-05T00:00:00"/>
    <n v="729592"/>
    <x v="0"/>
  </r>
  <r>
    <x v="54"/>
    <n v="66835"/>
    <x v="22"/>
    <n v="721"/>
    <n v="5"/>
    <n v="5"/>
    <d v="1983-12-15T00:00:00"/>
    <n v="702123"/>
    <x v="1"/>
  </r>
  <r>
    <x v="230"/>
    <n v="85147"/>
    <x v="23"/>
    <n v="798"/>
    <n v="3"/>
    <n v="2"/>
    <d v="1993-10-09T00:00:00"/>
    <n v="623600"/>
    <x v="0"/>
  </r>
  <r>
    <x v="14"/>
    <n v="11262"/>
    <x v="5"/>
    <n v="734"/>
    <n v="2"/>
    <n v="2"/>
    <d v="1980-07-14T00:00:00"/>
    <n v="982748"/>
    <x v="1"/>
  </r>
  <r>
    <x v="231"/>
    <n v="40889"/>
    <x v="5"/>
    <n v="749"/>
    <n v="2"/>
    <n v="9"/>
    <d v="1993-04-26T00:00:00"/>
    <n v="615354"/>
    <x v="1"/>
  </r>
  <r>
    <x v="40"/>
    <n v="74690"/>
    <x v="10"/>
    <n v="785"/>
    <n v="4"/>
    <n v="9"/>
    <d v="1985-08-31T00:00:00"/>
    <n v="644526"/>
    <x v="0"/>
  </r>
  <r>
    <x v="156"/>
    <n v="26821"/>
    <x v="17"/>
    <n v="789"/>
    <n v="3"/>
    <n v="6"/>
    <d v="1981-01-30T00:00:00"/>
    <n v="779848"/>
    <x v="1"/>
  </r>
  <r>
    <x v="232"/>
    <n v="51838"/>
    <x v="2"/>
    <n v="794"/>
    <n v="1"/>
    <n v="1"/>
    <d v="1992-10-20T00:00:00"/>
    <n v="878956"/>
    <x v="2"/>
  </r>
  <r>
    <x v="108"/>
    <n v="58565"/>
    <x v="2"/>
    <n v="754"/>
    <n v="1"/>
    <n v="9"/>
    <d v="1980-07-28T00:00:00"/>
    <n v="961982"/>
    <x v="0"/>
  </r>
  <r>
    <x v="42"/>
    <n v="88271"/>
    <x v="15"/>
    <n v="725"/>
    <n v="5"/>
    <n v="7"/>
    <d v="1986-11-05T00:00:00"/>
    <n v="915415"/>
    <x v="2"/>
  </r>
  <r>
    <x v="102"/>
    <n v="38437"/>
    <x v="14"/>
    <n v="756"/>
    <n v="1"/>
    <n v="3"/>
    <d v="1994-09-03T00:00:00"/>
    <n v="825960"/>
    <x v="2"/>
  </r>
  <r>
    <x v="0"/>
    <n v="91996"/>
    <x v="11"/>
    <n v="752"/>
    <n v="2"/>
    <n v="6"/>
    <d v="1983-09-10T00:00:00"/>
    <n v="724004"/>
    <x v="2"/>
  </r>
  <r>
    <x v="43"/>
    <n v="91200"/>
    <x v="22"/>
    <n v="756"/>
    <n v="3"/>
    <n v="6"/>
    <d v="1994-04-01T00:00:00"/>
    <n v="866470"/>
    <x v="0"/>
  </r>
  <r>
    <x v="79"/>
    <n v="10248"/>
    <x v="3"/>
    <n v="731"/>
    <n v="1"/>
    <n v="4"/>
    <d v="1981-07-30T00:00:00"/>
    <n v="905685"/>
    <x v="0"/>
  </r>
  <r>
    <x v="233"/>
    <n v="66881"/>
    <x v="7"/>
    <n v="785"/>
    <n v="3"/>
    <n v="7"/>
    <d v="1993-08-16T00:00:00"/>
    <n v="991743"/>
    <x v="0"/>
  </r>
  <r>
    <x v="128"/>
    <n v="90742"/>
    <x v="15"/>
    <n v="732"/>
    <n v="4"/>
    <n v="5"/>
    <d v="1981-11-26T00:00:00"/>
    <n v="735308"/>
    <x v="1"/>
  </r>
  <r>
    <x v="36"/>
    <n v="50565"/>
    <x v="18"/>
    <n v="752"/>
    <n v="3"/>
    <n v="4"/>
    <d v="1984-03-29T00:00:00"/>
    <n v="762854"/>
    <x v="2"/>
  </r>
  <r>
    <x v="118"/>
    <n v="67471"/>
    <x v="0"/>
    <n v="781"/>
    <n v="3"/>
    <n v="8"/>
    <d v="1991-02-20T00:00:00"/>
    <n v="902279"/>
    <x v="1"/>
  </r>
  <r>
    <x v="231"/>
    <n v="21521"/>
    <x v="2"/>
    <n v="773"/>
    <n v="2"/>
    <n v="5"/>
    <d v="1993-08-10T00:00:00"/>
    <n v="988216"/>
    <x v="0"/>
  </r>
  <r>
    <x v="181"/>
    <n v="38749"/>
    <x v="9"/>
    <n v="753"/>
    <n v="5"/>
    <n v="6"/>
    <d v="1982-11-19T00:00:00"/>
    <n v="817329"/>
    <x v="1"/>
  </r>
  <r>
    <x v="234"/>
    <n v="48754"/>
    <x v="15"/>
    <n v="744"/>
    <n v="3"/>
    <n v="2"/>
    <d v="1984-07-24T00:00:00"/>
    <n v="833335"/>
    <x v="2"/>
  </r>
  <r>
    <x v="235"/>
    <n v="27621"/>
    <x v="11"/>
    <n v="777"/>
    <n v="3"/>
    <n v="5"/>
    <d v="1989-10-04T00:00:00"/>
    <n v="729603"/>
    <x v="1"/>
  </r>
  <r>
    <x v="49"/>
    <n v="32301"/>
    <x v="0"/>
    <n v="793"/>
    <n v="2"/>
    <n v="8"/>
    <d v="1985-08-28T00:00:00"/>
    <n v="619071"/>
    <x v="0"/>
  </r>
  <r>
    <x v="236"/>
    <n v="17302"/>
    <x v="8"/>
    <n v="702"/>
    <n v="4"/>
    <n v="7"/>
    <d v="1992-05-22T00:00:00"/>
    <n v="508208"/>
    <x v="1"/>
  </r>
  <r>
    <x v="127"/>
    <n v="28539"/>
    <x v="11"/>
    <n v="744"/>
    <n v="4"/>
    <n v="3"/>
    <d v="1984-04-29T00:00:00"/>
    <n v="699440"/>
    <x v="1"/>
  </r>
  <r>
    <x v="237"/>
    <n v="57914"/>
    <x v="4"/>
    <n v="800"/>
    <n v="5"/>
    <n v="8"/>
    <d v="1990-02-15T00:00:00"/>
    <n v="943489"/>
    <x v="0"/>
  </r>
  <r>
    <x v="238"/>
    <n v="77453"/>
    <x v="14"/>
    <n v="708"/>
    <n v="4"/>
    <n v="6"/>
    <d v="1990-08-27T00:00:00"/>
    <n v="651534"/>
    <x v="0"/>
  </r>
  <r>
    <x v="239"/>
    <n v="74686"/>
    <x v="10"/>
    <n v="737"/>
    <n v="1"/>
    <n v="4"/>
    <d v="1987-12-11T00:00:00"/>
    <n v="559159"/>
    <x v="2"/>
  </r>
  <r>
    <x v="101"/>
    <n v="33657"/>
    <x v="16"/>
    <n v="768"/>
    <n v="3"/>
    <n v="8"/>
    <d v="1982-01-16T00:00:00"/>
    <n v="833026"/>
    <x v="0"/>
  </r>
  <r>
    <x v="240"/>
    <n v="94818"/>
    <x v="8"/>
    <n v="766"/>
    <n v="3"/>
    <n v="3"/>
    <d v="1991-12-02T00:00:00"/>
    <n v="778090"/>
    <x v="1"/>
  </r>
  <r>
    <x v="22"/>
    <n v="33999"/>
    <x v="19"/>
    <n v="754"/>
    <n v="5"/>
    <n v="3"/>
    <d v="1980-09-17T00:00:00"/>
    <n v="946160"/>
    <x v="0"/>
  </r>
  <r>
    <x v="73"/>
    <n v="64183"/>
    <x v="8"/>
    <n v="785"/>
    <n v="3"/>
    <n v="1"/>
    <d v="1989-05-09T00:00:00"/>
    <n v="959078"/>
    <x v="2"/>
  </r>
  <r>
    <x v="241"/>
    <n v="89662"/>
    <x v="0"/>
    <n v="772"/>
    <n v="2"/>
    <n v="2"/>
    <d v="1990-07-12T00:00:00"/>
    <n v="900938"/>
    <x v="2"/>
  </r>
  <r>
    <x v="4"/>
    <n v="20135"/>
    <x v="0"/>
    <n v="781"/>
    <n v="3"/>
    <n v="5"/>
    <d v="1984-02-23T00:00:00"/>
    <n v="580050"/>
    <x v="0"/>
  </r>
  <r>
    <x v="227"/>
    <n v="47134"/>
    <x v="16"/>
    <n v="713"/>
    <n v="4"/>
    <n v="3"/>
    <d v="1986-10-27T00:00:00"/>
    <n v="849908"/>
    <x v="2"/>
  </r>
  <r>
    <x v="75"/>
    <n v="90432"/>
    <x v="5"/>
    <n v="769"/>
    <n v="2"/>
    <n v="6"/>
    <d v="1991-01-08T00:00:00"/>
    <n v="623851"/>
    <x v="2"/>
  </r>
  <r>
    <x v="2"/>
    <n v="55903"/>
    <x v="4"/>
    <n v="786"/>
    <n v="5"/>
    <n v="10"/>
    <d v="1992-09-27T00:00:00"/>
    <n v="546819"/>
    <x v="1"/>
  </r>
  <r>
    <x v="219"/>
    <n v="50413"/>
    <x v="8"/>
    <n v="716"/>
    <n v="4"/>
    <n v="4"/>
    <d v="1986-06-21T00:00:00"/>
    <n v="776448"/>
    <x v="2"/>
  </r>
  <r>
    <x v="202"/>
    <n v="56610"/>
    <x v="14"/>
    <n v="777"/>
    <n v="4"/>
    <n v="9"/>
    <d v="1990-06-04T00:00:00"/>
    <n v="947933"/>
    <x v="0"/>
  </r>
  <r>
    <x v="242"/>
    <n v="30871"/>
    <x v="4"/>
    <n v="739"/>
    <n v="2"/>
    <n v="5"/>
    <d v="1983-01-25T00:00:00"/>
    <n v="809212"/>
    <x v="0"/>
  </r>
  <r>
    <x v="79"/>
    <n v="79807"/>
    <x v="16"/>
    <n v="730"/>
    <n v="3"/>
    <n v="3"/>
    <d v="1994-12-16T00:00:00"/>
    <n v="933509"/>
    <x v="1"/>
  </r>
  <r>
    <x v="233"/>
    <n v="42630"/>
    <x v="13"/>
    <n v="733"/>
    <n v="1"/>
    <n v="1"/>
    <d v="1987-10-13T00:00:00"/>
    <n v="825057"/>
    <x v="2"/>
  </r>
  <r>
    <x v="96"/>
    <n v="22737"/>
    <x v="2"/>
    <n v="754"/>
    <n v="1"/>
    <n v="9"/>
    <d v="1986-01-17T00:00:00"/>
    <n v="842137"/>
    <x v="1"/>
  </r>
  <r>
    <x v="86"/>
    <n v="75329"/>
    <x v="21"/>
    <n v="718"/>
    <n v="4"/>
    <n v="6"/>
    <d v="1987-11-16T00:00:00"/>
    <n v="742707"/>
    <x v="1"/>
  </r>
  <r>
    <x v="74"/>
    <n v="57770"/>
    <x v="11"/>
    <n v="785"/>
    <n v="3"/>
    <n v="4"/>
    <d v="1991-05-18T00:00:00"/>
    <n v="958957"/>
    <x v="1"/>
  </r>
  <r>
    <x v="243"/>
    <n v="13345"/>
    <x v="1"/>
    <n v="717"/>
    <n v="1"/>
    <n v="1"/>
    <d v="1985-12-19T00:00:00"/>
    <n v="823067"/>
    <x v="0"/>
  </r>
  <r>
    <x v="200"/>
    <n v="17962"/>
    <x v="20"/>
    <n v="742"/>
    <n v="2"/>
    <n v="2"/>
    <d v="1988-03-11T00:00:00"/>
    <n v="888310"/>
    <x v="1"/>
  </r>
  <r>
    <x v="221"/>
    <n v="62019"/>
    <x v="23"/>
    <n v="773"/>
    <n v="2"/>
    <n v="1"/>
    <d v="1990-03-06T00:00:00"/>
    <n v="573482"/>
    <x v="2"/>
  </r>
  <r>
    <x v="231"/>
    <n v="63431"/>
    <x v="18"/>
    <n v="794"/>
    <n v="1"/>
    <n v="1"/>
    <d v="1989-03-09T00:00:00"/>
    <n v="868482"/>
    <x v="2"/>
  </r>
  <r>
    <x v="197"/>
    <n v="87231"/>
    <x v="4"/>
    <n v="733"/>
    <n v="3"/>
    <n v="1"/>
    <d v="1989-02-17T00:00:00"/>
    <n v="977858"/>
    <x v="2"/>
  </r>
  <r>
    <x v="218"/>
    <n v="20237"/>
    <x v="5"/>
    <n v="709"/>
    <n v="3"/>
    <n v="6"/>
    <d v="1993-05-30T00:00:00"/>
    <n v="830519"/>
    <x v="2"/>
  </r>
  <r>
    <x v="98"/>
    <n v="27286"/>
    <x v="4"/>
    <n v="738"/>
    <n v="1"/>
    <n v="10"/>
    <d v="1990-11-13T00:00:00"/>
    <n v="621502"/>
    <x v="1"/>
  </r>
  <r>
    <x v="27"/>
    <n v="47440"/>
    <x v="22"/>
    <n v="759"/>
    <n v="3"/>
    <n v="2"/>
    <d v="1983-10-16T00:00:00"/>
    <n v="899239"/>
    <x v="2"/>
  </r>
  <r>
    <x v="244"/>
    <n v="47835"/>
    <x v="5"/>
    <n v="731"/>
    <n v="4"/>
    <n v="1"/>
    <d v="1980-04-07T00:00:00"/>
    <n v="672073"/>
    <x v="1"/>
  </r>
  <r>
    <x v="24"/>
    <n v="23501"/>
    <x v="18"/>
    <n v="704"/>
    <n v="2"/>
    <n v="9"/>
    <d v="1990-05-20T00:00:00"/>
    <n v="783595"/>
    <x v="0"/>
  </r>
  <r>
    <x v="245"/>
    <n v="74406"/>
    <x v="23"/>
    <n v="791"/>
    <n v="2"/>
    <n v="9"/>
    <d v="1983-12-11T00:00:00"/>
    <n v="696234"/>
    <x v="2"/>
  </r>
  <r>
    <x v="246"/>
    <n v="32850"/>
    <x v="2"/>
    <n v="775"/>
    <n v="4"/>
    <n v="7"/>
    <d v="1981-03-30T00:00:00"/>
    <n v="593559"/>
    <x v="2"/>
  </r>
  <r>
    <x v="117"/>
    <n v="81614"/>
    <x v="20"/>
    <n v="772"/>
    <n v="1"/>
    <n v="5"/>
    <d v="1982-03-08T00:00:00"/>
    <n v="908278"/>
    <x v="1"/>
  </r>
  <r>
    <x v="247"/>
    <n v="87248"/>
    <x v="7"/>
    <n v="766"/>
    <n v="4"/>
    <n v="1"/>
    <d v="1991-03-29T00:00:00"/>
    <n v="907757"/>
    <x v="2"/>
  </r>
  <r>
    <x v="35"/>
    <n v="99123"/>
    <x v="13"/>
    <n v="756"/>
    <n v="1"/>
    <n v="4"/>
    <d v="1982-07-01T00:00:00"/>
    <n v="681492"/>
    <x v="1"/>
  </r>
  <r>
    <x v="129"/>
    <n v="26238"/>
    <x v="5"/>
    <n v="718"/>
    <n v="2"/>
    <n v="2"/>
    <d v="1991-08-20T00:00:00"/>
    <n v="614109"/>
    <x v="0"/>
  </r>
  <r>
    <x v="248"/>
    <n v="84986"/>
    <x v="19"/>
    <n v="723"/>
    <n v="2"/>
    <n v="4"/>
    <d v="1994-07-12T00:00:00"/>
    <n v="909370"/>
    <x v="0"/>
  </r>
  <r>
    <x v="143"/>
    <n v="90759"/>
    <x v="23"/>
    <n v="710"/>
    <n v="5"/>
    <n v="4"/>
    <d v="1986-04-21T00:00:00"/>
    <n v="669471"/>
    <x v="0"/>
  </r>
  <r>
    <x v="177"/>
    <n v="57440"/>
    <x v="19"/>
    <n v="743"/>
    <n v="2"/>
    <n v="3"/>
    <d v="1987-05-26T00:00:00"/>
    <n v="758121"/>
    <x v="1"/>
  </r>
  <r>
    <x v="249"/>
    <n v="50601"/>
    <x v="4"/>
    <n v="760"/>
    <n v="5"/>
    <n v="4"/>
    <d v="1988-01-02T00:00:00"/>
    <n v="601051"/>
    <x v="0"/>
  </r>
  <r>
    <x v="250"/>
    <n v="99068"/>
    <x v="15"/>
    <n v="776"/>
    <n v="5"/>
    <n v="2"/>
    <d v="1983-09-29T00:00:00"/>
    <n v="716266"/>
    <x v="2"/>
  </r>
  <r>
    <x v="92"/>
    <n v="35458"/>
    <x v="17"/>
    <n v="752"/>
    <n v="4"/>
    <n v="4"/>
    <d v="1991-08-01T00:00:00"/>
    <n v="957388"/>
    <x v="1"/>
  </r>
  <r>
    <x v="119"/>
    <n v="95836"/>
    <x v="6"/>
    <n v="776"/>
    <n v="4"/>
    <n v="6"/>
    <d v="1993-09-17T00:00:00"/>
    <n v="514244"/>
    <x v="0"/>
  </r>
  <r>
    <x v="186"/>
    <n v="58497"/>
    <x v="0"/>
    <n v="788"/>
    <n v="2"/>
    <n v="4"/>
    <d v="1989-03-12T00:00:00"/>
    <n v="540095"/>
    <x v="2"/>
  </r>
  <r>
    <x v="251"/>
    <n v="40845"/>
    <x v="5"/>
    <n v="743"/>
    <n v="5"/>
    <n v="4"/>
    <d v="1987-08-24T00:00:00"/>
    <n v="522518"/>
    <x v="0"/>
  </r>
  <r>
    <x v="124"/>
    <n v="21565"/>
    <x v="23"/>
    <n v="751"/>
    <n v="3"/>
    <n v="1"/>
    <d v="1987-08-10T00:00:00"/>
    <n v="700173"/>
    <x v="0"/>
  </r>
  <r>
    <x v="122"/>
    <n v="76798"/>
    <x v="7"/>
    <n v="761"/>
    <n v="1"/>
    <n v="7"/>
    <d v="1992-05-19T00:00:00"/>
    <n v="857894"/>
    <x v="2"/>
  </r>
  <r>
    <x v="89"/>
    <n v="60752"/>
    <x v="7"/>
    <n v="726"/>
    <n v="4"/>
    <n v="9"/>
    <d v="1986-03-22T00:00:00"/>
    <n v="720127"/>
    <x v="2"/>
  </r>
  <r>
    <x v="252"/>
    <n v="97302"/>
    <x v="20"/>
    <n v="700"/>
    <n v="2"/>
    <n v="7"/>
    <d v="1987-04-01T00:00:00"/>
    <n v="944807"/>
    <x v="2"/>
  </r>
  <r>
    <x v="253"/>
    <n v="71364"/>
    <x v="3"/>
    <n v="788"/>
    <n v="4"/>
    <n v="2"/>
    <d v="1989-05-18T00:00:00"/>
    <n v="909616"/>
    <x v="2"/>
  </r>
  <r>
    <x v="219"/>
    <n v="38430"/>
    <x v="14"/>
    <n v="762"/>
    <n v="2"/>
    <n v="3"/>
    <d v="1982-01-26T00:00:00"/>
    <n v="617739"/>
    <x v="1"/>
  </r>
  <r>
    <x v="254"/>
    <n v="47361"/>
    <x v="23"/>
    <n v="733"/>
    <n v="3"/>
    <n v="5"/>
    <d v="1994-10-28T00:00:00"/>
    <n v="644002"/>
    <x v="0"/>
  </r>
  <r>
    <x v="123"/>
    <n v="24514"/>
    <x v="20"/>
    <n v="797"/>
    <n v="5"/>
    <n v="5"/>
    <d v="1989-12-02T00:00:00"/>
    <n v="865221"/>
    <x v="2"/>
  </r>
  <r>
    <x v="197"/>
    <n v="58181"/>
    <x v="4"/>
    <n v="775"/>
    <n v="1"/>
    <n v="7"/>
    <d v="1985-11-06T00:00:00"/>
    <n v="517907"/>
    <x v="1"/>
  </r>
  <r>
    <x v="240"/>
    <n v="73371"/>
    <x v="1"/>
    <n v="722"/>
    <n v="2"/>
    <n v="8"/>
    <d v="1988-05-11T00:00:00"/>
    <n v="967821"/>
    <x v="0"/>
  </r>
  <r>
    <x v="232"/>
    <n v="85129"/>
    <x v="2"/>
    <n v="725"/>
    <n v="5"/>
    <n v="1"/>
    <d v="1988-08-31T00:00:00"/>
    <n v="865586"/>
    <x v="2"/>
  </r>
  <r>
    <x v="255"/>
    <n v="81228"/>
    <x v="6"/>
    <n v="770"/>
    <n v="3"/>
    <n v="6"/>
    <d v="1984-04-28T00:00:00"/>
    <n v="943462"/>
    <x v="2"/>
  </r>
  <r>
    <x v="256"/>
    <n v="93750"/>
    <x v="1"/>
    <n v="799"/>
    <n v="3"/>
    <n v="10"/>
    <d v="1987-05-17T00:00:00"/>
    <n v="834366"/>
    <x v="0"/>
  </r>
  <r>
    <x v="257"/>
    <n v="57092"/>
    <x v="10"/>
    <n v="705"/>
    <n v="1"/>
    <n v="1"/>
    <d v="1985-09-30T00:00:00"/>
    <n v="920468"/>
    <x v="2"/>
  </r>
  <r>
    <x v="258"/>
    <n v="54866"/>
    <x v="18"/>
    <n v="719"/>
    <n v="2"/>
    <n v="7"/>
    <d v="1983-08-23T00:00:00"/>
    <n v="928910"/>
    <x v="0"/>
  </r>
  <r>
    <x v="33"/>
    <n v="96247"/>
    <x v="22"/>
    <n v="788"/>
    <n v="5"/>
    <n v="4"/>
    <d v="1980-06-19T00:00:00"/>
    <n v="831126"/>
    <x v="0"/>
  </r>
  <r>
    <x v="6"/>
    <n v="86568"/>
    <x v="1"/>
    <n v="799"/>
    <n v="1"/>
    <n v="6"/>
    <d v="1987-10-11T00:00:00"/>
    <n v="954784"/>
    <x v="1"/>
  </r>
  <r>
    <x v="229"/>
    <n v="65077"/>
    <x v="20"/>
    <n v="743"/>
    <n v="1"/>
    <n v="10"/>
    <d v="1980-05-19T00:00:00"/>
    <n v="943109"/>
    <x v="1"/>
  </r>
  <r>
    <x v="234"/>
    <n v="78229"/>
    <x v="7"/>
    <n v="791"/>
    <n v="1"/>
    <n v="6"/>
    <d v="1986-10-31T00:00:00"/>
    <n v="507141"/>
    <x v="0"/>
  </r>
  <r>
    <x v="61"/>
    <n v="95204"/>
    <x v="11"/>
    <n v="709"/>
    <n v="5"/>
    <n v="8"/>
    <d v="1991-10-24T00:00:00"/>
    <n v="949973"/>
    <x v="2"/>
  </r>
  <r>
    <x v="56"/>
    <n v="53714"/>
    <x v="7"/>
    <n v="734"/>
    <n v="3"/>
    <n v="1"/>
    <d v="1993-08-22T00:00:00"/>
    <n v="774595"/>
    <x v="1"/>
  </r>
  <r>
    <x v="259"/>
    <n v="32047"/>
    <x v="17"/>
    <n v="780"/>
    <n v="2"/>
    <n v="2"/>
    <d v="1992-02-14T00:00:00"/>
    <n v="888740"/>
    <x v="1"/>
  </r>
  <r>
    <x v="255"/>
    <n v="98381"/>
    <x v="19"/>
    <n v="755"/>
    <n v="3"/>
    <n v="5"/>
    <d v="1993-08-01T00:00:00"/>
    <n v="973913"/>
    <x v="2"/>
  </r>
  <r>
    <x v="136"/>
    <n v="88595"/>
    <x v="10"/>
    <n v="784"/>
    <n v="1"/>
    <n v="8"/>
    <d v="1994-07-20T00:00:00"/>
    <n v="965860"/>
    <x v="1"/>
  </r>
  <r>
    <x v="260"/>
    <n v="45924"/>
    <x v="12"/>
    <n v="787"/>
    <n v="4"/>
    <n v="1"/>
    <d v="1985-09-22T00:00:00"/>
    <n v="928300"/>
    <x v="1"/>
  </r>
  <r>
    <x v="200"/>
    <n v="93560"/>
    <x v="9"/>
    <n v="710"/>
    <n v="2"/>
    <n v="6"/>
    <d v="1990-01-09T00:00:00"/>
    <n v="658229"/>
    <x v="1"/>
  </r>
  <r>
    <x v="174"/>
    <n v="55067"/>
    <x v="7"/>
    <n v="730"/>
    <n v="3"/>
    <n v="2"/>
    <d v="1992-07-10T00:00:00"/>
    <n v="560882"/>
    <x v="1"/>
  </r>
  <r>
    <x v="156"/>
    <n v="31005"/>
    <x v="14"/>
    <n v="750"/>
    <n v="3"/>
    <n v="7"/>
    <d v="1991-02-22T00:00:00"/>
    <n v="781897"/>
    <x v="1"/>
  </r>
  <r>
    <x v="59"/>
    <n v="88614"/>
    <x v="18"/>
    <n v="749"/>
    <n v="1"/>
    <n v="4"/>
    <d v="1980-02-25T00:00:00"/>
    <n v="769026"/>
    <x v="0"/>
  </r>
  <r>
    <x v="122"/>
    <n v="61411"/>
    <x v="19"/>
    <n v="757"/>
    <n v="4"/>
    <n v="2"/>
    <d v="1983-07-17T00:00:00"/>
    <n v="505118"/>
    <x v="1"/>
  </r>
  <r>
    <x v="182"/>
    <n v="13948"/>
    <x v="22"/>
    <n v="785"/>
    <n v="2"/>
    <n v="9"/>
    <d v="1994-12-11T00:00:00"/>
    <n v="623506"/>
    <x v="1"/>
  </r>
  <r>
    <x v="218"/>
    <n v="11840"/>
    <x v="20"/>
    <n v="789"/>
    <n v="2"/>
    <n v="10"/>
    <d v="1990-07-03T00:00:00"/>
    <n v="684537"/>
    <x v="0"/>
  </r>
  <r>
    <x v="261"/>
    <n v="76930"/>
    <x v="6"/>
    <n v="762"/>
    <n v="1"/>
    <n v="8"/>
    <d v="1993-12-30T00:00:00"/>
    <n v="601108"/>
    <x v="1"/>
  </r>
  <r>
    <x v="80"/>
    <n v="83885"/>
    <x v="11"/>
    <n v="703"/>
    <n v="1"/>
    <n v="9"/>
    <d v="1981-08-21T00:00:00"/>
    <n v="990159"/>
    <x v="0"/>
  </r>
  <r>
    <x v="262"/>
    <n v="99618"/>
    <x v="22"/>
    <n v="766"/>
    <n v="2"/>
    <n v="3"/>
    <d v="1980-11-23T00:00:00"/>
    <n v="630292"/>
    <x v="2"/>
  </r>
  <r>
    <x v="226"/>
    <n v="17583"/>
    <x v="23"/>
    <n v="745"/>
    <n v="2"/>
    <n v="3"/>
    <d v="1985-11-30T00:00:00"/>
    <n v="614908"/>
    <x v="2"/>
  </r>
  <r>
    <x v="263"/>
    <n v="85664"/>
    <x v="19"/>
    <n v="747"/>
    <n v="4"/>
    <n v="1"/>
    <d v="1981-09-19T00:00:00"/>
    <n v="575675"/>
    <x v="1"/>
  </r>
  <r>
    <x v="196"/>
    <n v="71405"/>
    <x v="3"/>
    <n v="748"/>
    <n v="1"/>
    <n v="4"/>
    <d v="1990-03-30T00:00:00"/>
    <n v="907498"/>
    <x v="0"/>
  </r>
  <r>
    <x v="12"/>
    <n v="77210"/>
    <x v="19"/>
    <n v="760"/>
    <n v="5"/>
    <n v="5"/>
    <d v="1988-05-08T00:00:00"/>
    <n v="640079"/>
    <x v="2"/>
  </r>
  <r>
    <x v="159"/>
    <n v="67481"/>
    <x v="14"/>
    <n v="787"/>
    <n v="3"/>
    <n v="1"/>
    <d v="1981-01-26T00:00:00"/>
    <n v="760487"/>
    <x v="2"/>
  </r>
  <r>
    <x v="264"/>
    <n v="64838"/>
    <x v="11"/>
    <n v="704"/>
    <n v="5"/>
    <n v="4"/>
    <d v="1990-04-25T00:00:00"/>
    <n v="816102"/>
    <x v="2"/>
  </r>
  <r>
    <x v="96"/>
    <n v="94902"/>
    <x v="11"/>
    <n v="759"/>
    <n v="1"/>
    <n v="2"/>
    <d v="1989-10-28T00:00:00"/>
    <n v="852827"/>
    <x v="0"/>
  </r>
  <r>
    <x v="190"/>
    <n v="32195"/>
    <x v="7"/>
    <n v="707"/>
    <n v="5"/>
    <n v="7"/>
    <d v="1987-06-27T00:00:00"/>
    <n v="805154"/>
    <x v="2"/>
  </r>
  <r>
    <x v="124"/>
    <n v="54760"/>
    <x v="1"/>
    <n v="752"/>
    <n v="5"/>
    <n v="1"/>
    <d v="1988-06-08T00:00:00"/>
    <n v="979687"/>
    <x v="2"/>
  </r>
  <r>
    <x v="265"/>
    <n v="76284"/>
    <x v="12"/>
    <n v="757"/>
    <n v="2"/>
    <n v="8"/>
    <d v="1982-11-04T00:00:00"/>
    <n v="642552"/>
    <x v="2"/>
  </r>
  <r>
    <x v="82"/>
    <n v="38227"/>
    <x v="10"/>
    <n v="743"/>
    <n v="1"/>
    <n v="3"/>
    <d v="1985-06-07T00:00:00"/>
    <n v="912232"/>
    <x v="1"/>
  </r>
  <r>
    <x v="20"/>
    <n v="67019"/>
    <x v="2"/>
    <n v="737"/>
    <n v="5"/>
    <n v="5"/>
    <d v="1984-03-24T00:00:00"/>
    <n v="942795"/>
    <x v="2"/>
  </r>
  <r>
    <x v="51"/>
    <n v="11498"/>
    <x v="18"/>
    <n v="793"/>
    <n v="2"/>
    <n v="6"/>
    <d v="1991-04-24T00:00:00"/>
    <n v="861953"/>
    <x v="0"/>
  </r>
  <r>
    <x v="149"/>
    <n v="48916"/>
    <x v="11"/>
    <n v="710"/>
    <n v="4"/>
    <n v="7"/>
    <d v="1982-01-03T00:00:00"/>
    <n v="764369"/>
    <x v="2"/>
  </r>
  <r>
    <x v="143"/>
    <n v="81749"/>
    <x v="13"/>
    <n v="793"/>
    <n v="5"/>
    <n v="4"/>
    <d v="1991-06-15T00:00:00"/>
    <n v="583217"/>
    <x v="1"/>
  </r>
  <r>
    <x v="34"/>
    <n v="16926"/>
    <x v="7"/>
    <n v="720"/>
    <n v="5"/>
    <n v="4"/>
    <d v="1981-11-11T00:00:00"/>
    <n v="584414"/>
    <x v="2"/>
  </r>
  <r>
    <x v="263"/>
    <n v="75600"/>
    <x v="21"/>
    <n v="718"/>
    <n v="2"/>
    <n v="2"/>
    <d v="1980-11-16T00:00:00"/>
    <n v="592278"/>
    <x v="1"/>
  </r>
  <r>
    <x v="37"/>
    <n v="83490"/>
    <x v="22"/>
    <n v="705"/>
    <n v="5"/>
    <n v="4"/>
    <d v="1987-08-09T00:00:00"/>
    <n v="626770"/>
    <x v="1"/>
  </r>
  <r>
    <x v="6"/>
    <n v="85785"/>
    <x v="4"/>
    <n v="779"/>
    <n v="5"/>
    <n v="8"/>
    <d v="1993-10-20T00:00:00"/>
    <n v="647437"/>
    <x v="2"/>
  </r>
  <r>
    <x v="193"/>
    <n v="94775"/>
    <x v="1"/>
    <n v="715"/>
    <n v="4"/>
    <n v="6"/>
    <d v="1984-11-18T00:00:00"/>
    <n v="911454"/>
    <x v="0"/>
  </r>
  <r>
    <x v="8"/>
    <n v="23065"/>
    <x v="12"/>
    <n v="772"/>
    <n v="2"/>
    <n v="9"/>
    <d v="1991-02-19T00:00:00"/>
    <n v="800792"/>
    <x v="2"/>
  </r>
  <r>
    <x v="257"/>
    <n v="23396"/>
    <x v="19"/>
    <n v="779"/>
    <n v="5"/>
    <n v="3"/>
    <d v="1991-07-03T00:00:00"/>
    <n v="888950"/>
    <x v="2"/>
  </r>
  <r>
    <x v="76"/>
    <n v="74049"/>
    <x v="6"/>
    <n v="758"/>
    <n v="4"/>
    <n v="1"/>
    <d v="1992-11-30T00:00:00"/>
    <n v="572491"/>
    <x v="1"/>
  </r>
  <r>
    <x v="42"/>
    <n v="69915"/>
    <x v="0"/>
    <n v="737"/>
    <n v="2"/>
    <n v="7"/>
    <d v="1992-03-13T00:00:00"/>
    <n v="863721"/>
    <x v="1"/>
  </r>
  <r>
    <x v="266"/>
    <n v="24421"/>
    <x v="20"/>
    <n v="723"/>
    <n v="4"/>
    <n v="9"/>
    <d v="1990-12-21T00:00:00"/>
    <n v="835950"/>
    <x v="1"/>
  </r>
  <r>
    <x v="267"/>
    <n v="58454"/>
    <x v="16"/>
    <n v="727"/>
    <n v="4"/>
    <n v="6"/>
    <d v="1994-08-21T00:00:00"/>
    <n v="881526"/>
    <x v="1"/>
  </r>
  <r>
    <x v="159"/>
    <n v="13253"/>
    <x v="5"/>
    <n v="759"/>
    <n v="4"/>
    <n v="1"/>
    <d v="1985-10-01T00:00:00"/>
    <n v="789275"/>
    <x v="0"/>
  </r>
  <r>
    <x v="24"/>
    <n v="32410"/>
    <x v="16"/>
    <n v="706"/>
    <n v="4"/>
    <n v="1"/>
    <d v="1981-02-28T00:00:00"/>
    <n v="963204"/>
    <x v="0"/>
  </r>
  <r>
    <x v="114"/>
    <n v="11713"/>
    <x v="21"/>
    <n v="703"/>
    <n v="4"/>
    <n v="9"/>
    <d v="1988-09-27T00:00:00"/>
    <n v="871572"/>
    <x v="2"/>
  </r>
  <r>
    <x v="59"/>
    <n v="49626"/>
    <x v="16"/>
    <n v="702"/>
    <n v="2"/>
    <n v="4"/>
    <d v="1985-03-07T00:00:00"/>
    <n v="618850"/>
    <x v="2"/>
  </r>
  <r>
    <x v="29"/>
    <n v="25602"/>
    <x v="21"/>
    <n v="747"/>
    <n v="1"/>
    <n v="4"/>
    <d v="1993-09-28T00:00:00"/>
    <n v="979398"/>
    <x v="2"/>
  </r>
  <r>
    <x v="72"/>
    <n v="82529"/>
    <x v="19"/>
    <n v="712"/>
    <n v="5"/>
    <n v="6"/>
    <d v="1985-05-17T00:00:00"/>
    <n v="792059"/>
    <x v="1"/>
  </r>
  <r>
    <x v="200"/>
    <n v="33160"/>
    <x v="5"/>
    <n v="714"/>
    <n v="1"/>
    <n v="6"/>
    <d v="1980-05-21T00:00:00"/>
    <n v="938703"/>
    <x v="1"/>
  </r>
  <r>
    <x v="268"/>
    <n v="41449"/>
    <x v="23"/>
    <n v="741"/>
    <n v="3"/>
    <n v="2"/>
    <d v="1991-03-11T00:00:00"/>
    <n v="701666"/>
    <x v="1"/>
  </r>
  <r>
    <x v="88"/>
    <n v="71321"/>
    <x v="12"/>
    <n v="758"/>
    <n v="4"/>
    <n v="3"/>
    <d v="1991-09-13T00:00:00"/>
    <n v="898390"/>
    <x v="0"/>
  </r>
  <r>
    <x v="91"/>
    <n v="14370"/>
    <x v="19"/>
    <n v="776"/>
    <n v="5"/>
    <n v="8"/>
    <d v="1984-07-04T00:00:00"/>
    <n v="637201"/>
    <x v="1"/>
  </r>
  <r>
    <x v="265"/>
    <n v="57441"/>
    <x v="16"/>
    <n v="701"/>
    <n v="3"/>
    <n v="7"/>
    <d v="1986-04-05T00:00:00"/>
    <n v="629314"/>
    <x v="2"/>
  </r>
  <r>
    <x v="11"/>
    <n v="89223"/>
    <x v="9"/>
    <n v="777"/>
    <n v="5"/>
    <n v="2"/>
    <d v="1992-11-20T00:00:00"/>
    <n v="601092"/>
    <x v="0"/>
  </r>
  <r>
    <x v="53"/>
    <n v="90372"/>
    <x v="15"/>
    <n v="746"/>
    <n v="2"/>
    <n v="6"/>
    <d v="1988-05-15T00:00:00"/>
    <n v="569389"/>
    <x v="0"/>
  </r>
  <r>
    <x v="100"/>
    <n v="35132"/>
    <x v="9"/>
    <n v="745"/>
    <n v="1"/>
    <n v="10"/>
    <d v="1987-06-10T00:00:00"/>
    <n v="906581"/>
    <x v="1"/>
  </r>
  <r>
    <x v="269"/>
    <n v="99699"/>
    <x v="4"/>
    <n v="701"/>
    <n v="1"/>
    <n v="8"/>
    <d v="1991-10-07T00:00:00"/>
    <n v="691306"/>
    <x v="2"/>
  </r>
  <r>
    <x v="270"/>
    <n v="73788"/>
    <x v="11"/>
    <n v="714"/>
    <n v="4"/>
    <n v="9"/>
    <d v="1994-10-31T00:00:00"/>
    <n v="594655"/>
    <x v="0"/>
  </r>
  <r>
    <x v="271"/>
    <n v="33329"/>
    <x v="19"/>
    <n v="728"/>
    <n v="2"/>
    <n v="7"/>
    <d v="1988-03-16T00:00:00"/>
    <n v="609323"/>
    <x v="0"/>
  </r>
  <r>
    <x v="272"/>
    <n v="91695"/>
    <x v="13"/>
    <n v="725"/>
    <n v="1"/>
    <n v="9"/>
    <d v="1985-10-14T00:00:00"/>
    <n v="616474"/>
    <x v="0"/>
  </r>
  <r>
    <x v="264"/>
    <n v="43918"/>
    <x v="20"/>
    <n v="717"/>
    <n v="4"/>
    <n v="2"/>
    <d v="1987-09-04T00:00:00"/>
    <n v="965774"/>
    <x v="0"/>
  </r>
  <r>
    <x v="273"/>
    <n v="72046"/>
    <x v="15"/>
    <n v="742"/>
    <n v="4"/>
    <n v="4"/>
    <d v="1986-11-17T00:00:00"/>
    <n v="866598"/>
    <x v="0"/>
  </r>
  <r>
    <x v="274"/>
    <n v="71085"/>
    <x v="7"/>
    <n v="747"/>
    <n v="5"/>
    <n v="5"/>
    <d v="1981-12-11T00:00:00"/>
    <n v="727411"/>
    <x v="0"/>
  </r>
  <r>
    <x v="26"/>
    <n v="27980"/>
    <x v="7"/>
    <n v="700"/>
    <n v="5"/>
    <n v="5"/>
    <d v="1988-05-17T00:00:00"/>
    <n v="840811"/>
    <x v="0"/>
  </r>
  <r>
    <x v="74"/>
    <n v="21407"/>
    <x v="10"/>
    <n v="723"/>
    <n v="1"/>
    <n v="10"/>
    <d v="1990-01-31T00:00:00"/>
    <n v="644713"/>
    <x v="2"/>
  </r>
  <r>
    <x v="145"/>
    <n v="37415"/>
    <x v="3"/>
    <n v="705"/>
    <n v="3"/>
    <n v="1"/>
    <d v="1991-03-18T00:00:00"/>
    <n v="910971"/>
    <x v="2"/>
  </r>
  <r>
    <x v="275"/>
    <n v="96780"/>
    <x v="17"/>
    <n v="755"/>
    <n v="1"/>
    <n v="1"/>
    <d v="1994-07-08T00:00:00"/>
    <n v="753695"/>
    <x v="1"/>
  </r>
  <r>
    <x v="258"/>
    <n v="71238"/>
    <x v="3"/>
    <n v="780"/>
    <n v="1"/>
    <n v="5"/>
    <d v="1980-02-24T00:00:00"/>
    <n v="918569"/>
    <x v="0"/>
  </r>
  <r>
    <x v="124"/>
    <n v="50595"/>
    <x v="19"/>
    <n v="745"/>
    <n v="4"/>
    <n v="6"/>
    <d v="1982-09-18T00:00:00"/>
    <n v="911149"/>
    <x v="0"/>
  </r>
  <r>
    <x v="276"/>
    <n v="15443"/>
    <x v="0"/>
    <n v="758"/>
    <n v="1"/>
    <n v="8"/>
    <d v="1990-06-07T00:00:00"/>
    <n v="704263"/>
    <x v="2"/>
  </r>
  <r>
    <x v="277"/>
    <n v="63852"/>
    <x v="2"/>
    <n v="736"/>
    <n v="1"/>
    <n v="6"/>
    <d v="1992-12-06T00:00:00"/>
    <n v="520081"/>
    <x v="0"/>
  </r>
  <r>
    <x v="15"/>
    <n v="58573"/>
    <x v="5"/>
    <n v="747"/>
    <n v="2"/>
    <n v="2"/>
    <d v="1987-04-22T00:00:00"/>
    <n v="864697"/>
    <x v="2"/>
  </r>
  <r>
    <x v="261"/>
    <n v="33080"/>
    <x v="19"/>
    <n v="781"/>
    <n v="2"/>
    <n v="3"/>
    <d v="1993-03-28T00:00:00"/>
    <n v="737419"/>
    <x v="2"/>
  </r>
  <r>
    <x v="177"/>
    <n v="95942"/>
    <x v="21"/>
    <n v="729"/>
    <n v="4"/>
    <n v="10"/>
    <d v="1993-05-03T00:00:00"/>
    <n v="558030"/>
    <x v="1"/>
  </r>
  <r>
    <x v="116"/>
    <n v="87308"/>
    <x v="3"/>
    <n v="710"/>
    <n v="3"/>
    <n v="7"/>
    <d v="1990-09-25T00:00:00"/>
    <n v="588194"/>
    <x v="0"/>
  </r>
  <r>
    <x v="83"/>
    <n v="13620"/>
    <x v="10"/>
    <n v="785"/>
    <n v="4"/>
    <n v="6"/>
    <d v="1981-07-14T00:00:00"/>
    <n v="557207"/>
    <x v="2"/>
  </r>
  <r>
    <x v="200"/>
    <n v="97312"/>
    <x v="13"/>
    <n v="788"/>
    <n v="5"/>
    <n v="9"/>
    <d v="1981-03-29T00:00:00"/>
    <n v="541314"/>
    <x v="2"/>
  </r>
  <r>
    <x v="63"/>
    <n v="33399"/>
    <x v="23"/>
    <n v="708"/>
    <n v="2"/>
    <n v="3"/>
    <d v="1993-04-11T00:00:00"/>
    <n v="526493"/>
    <x v="2"/>
  </r>
  <r>
    <x v="175"/>
    <n v="24165"/>
    <x v="18"/>
    <n v="751"/>
    <n v="1"/>
    <n v="7"/>
    <d v="1983-02-10T00:00:00"/>
    <n v="568904"/>
    <x v="1"/>
  </r>
  <r>
    <x v="278"/>
    <n v="73609"/>
    <x v="7"/>
    <n v="739"/>
    <n v="4"/>
    <n v="2"/>
    <d v="1983-01-23T00:00:00"/>
    <n v="558445"/>
    <x v="1"/>
  </r>
  <r>
    <x v="279"/>
    <n v="17847"/>
    <x v="3"/>
    <n v="770"/>
    <n v="4"/>
    <n v="9"/>
    <d v="1982-12-05T00:00:00"/>
    <n v="653315"/>
    <x v="1"/>
  </r>
  <r>
    <x v="62"/>
    <n v="34408"/>
    <x v="4"/>
    <n v="772"/>
    <n v="1"/>
    <n v="8"/>
    <d v="1983-07-07T00:00:00"/>
    <n v="743563"/>
    <x v="2"/>
  </r>
  <r>
    <x v="250"/>
    <n v="63076"/>
    <x v="5"/>
    <n v="793"/>
    <n v="1"/>
    <n v="3"/>
    <d v="1980-02-07T00:00:00"/>
    <n v="840725"/>
    <x v="0"/>
  </r>
  <r>
    <x v="179"/>
    <n v="95803"/>
    <x v="20"/>
    <n v="798"/>
    <n v="3"/>
    <n v="2"/>
    <d v="1992-03-16T00:00:00"/>
    <n v="647937"/>
    <x v="0"/>
  </r>
  <r>
    <x v="280"/>
    <n v="35698"/>
    <x v="6"/>
    <n v="710"/>
    <n v="5"/>
    <n v="7"/>
    <d v="1990-09-23T00:00:00"/>
    <n v="541460"/>
    <x v="0"/>
  </r>
  <r>
    <x v="131"/>
    <n v="95503"/>
    <x v="4"/>
    <n v="743"/>
    <n v="4"/>
    <n v="4"/>
    <d v="1988-10-12T00:00:00"/>
    <n v="669353"/>
    <x v="1"/>
  </r>
  <r>
    <x v="55"/>
    <n v="95921"/>
    <x v="10"/>
    <n v="797"/>
    <n v="4"/>
    <n v="1"/>
    <d v="1981-01-25T00:00:00"/>
    <n v="928644"/>
    <x v="0"/>
  </r>
  <r>
    <x v="129"/>
    <n v="27632"/>
    <x v="15"/>
    <n v="800"/>
    <n v="1"/>
    <n v="8"/>
    <d v="1981-12-13T00:00:00"/>
    <n v="960902"/>
    <x v="0"/>
  </r>
  <r>
    <x v="173"/>
    <n v="63842"/>
    <x v="16"/>
    <n v="797"/>
    <n v="1"/>
    <n v="4"/>
    <d v="1987-09-06T00:00:00"/>
    <n v="858604"/>
    <x v="2"/>
  </r>
  <r>
    <x v="281"/>
    <n v="37460"/>
    <x v="13"/>
    <n v="781"/>
    <n v="2"/>
    <n v="1"/>
    <d v="1992-03-24T00:00:00"/>
    <n v="524070"/>
    <x v="2"/>
  </r>
  <r>
    <x v="50"/>
    <n v="72882"/>
    <x v="17"/>
    <n v="736"/>
    <n v="3"/>
    <n v="6"/>
    <d v="1989-06-07T00:00:00"/>
    <n v="643486"/>
    <x v="1"/>
  </r>
  <r>
    <x v="1"/>
    <n v="27544"/>
    <x v="2"/>
    <n v="715"/>
    <n v="5"/>
    <n v="8"/>
    <d v="1988-07-21T00:00:00"/>
    <n v="587547"/>
    <x v="2"/>
  </r>
  <r>
    <x v="282"/>
    <n v="24343"/>
    <x v="20"/>
    <n v="767"/>
    <n v="1"/>
    <n v="3"/>
    <d v="1986-12-12T00:00:00"/>
    <n v="557672"/>
    <x v="1"/>
  </r>
  <r>
    <x v="161"/>
    <n v="51730"/>
    <x v="22"/>
    <n v="787"/>
    <n v="3"/>
    <n v="10"/>
    <d v="1991-07-15T00:00:00"/>
    <n v="635431"/>
    <x v="2"/>
  </r>
  <r>
    <x v="110"/>
    <n v="64295"/>
    <x v="0"/>
    <n v="788"/>
    <n v="3"/>
    <n v="8"/>
    <d v="1988-04-03T00:00:00"/>
    <n v="594694"/>
    <x v="0"/>
  </r>
  <r>
    <x v="38"/>
    <n v="93731"/>
    <x v="2"/>
    <n v="725"/>
    <n v="3"/>
    <n v="8"/>
    <d v="1991-11-23T00:00:00"/>
    <n v="859247"/>
    <x v="1"/>
  </r>
  <r>
    <x v="202"/>
    <n v="21875"/>
    <x v="1"/>
    <n v="721"/>
    <n v="2"/>
    <n v="6"/>
    <d v="1988-09-09T00:00:00"/>
    <n v="615686"/>
    <x v="2"/>
  </r>
  <r>
    <x v="226"/>
    <n v="13640"/>
    <x v="18"/>
    <n v="717"/>
    <n v="2"/>
    <n v="1"/>
    <d v="1994-12-10T00:00:00"/>
    <n v="611218"/>
    <x v="0"/>
  </r>
  <r>
    <x v="283"/>
    <n v="53720"/>
    <x v="16"/>
    <n v="764"/>
    <n v="4"/>
    <n v="7"/>
    <d v="1989-08-13T00:00:00"/>
    <n v="681585"/>
    <x v="1"/>
  </r>
  <r>
    <x v="248"/>
    <n v="65888"/>
    <x v="22"/>
    <n v="767"/>
    <n v="1"/>
    <n v="1"/>
    <d v="1987-08-09T00:00:00"/>
    <n v="811827"/>
    <x v="0"/>
  </r>
  <r>
    <x v="172"/>
    <n v="99843"/>
    <x v="5"/>
    <n v="769"/>
    <n v="3"/>
    <n v="5"/>
    <d v="1991-08-30T00:00:00"/>
    <n v="627334"/>
    <x v="2"/>
  </r>
  <r>
    <x v="180"/>
    <n v="58228"/>
    <x v="2"/>
    <n v="747"/>
    <n v="1"/>
    <n v="1"/>
    <d v="1982-06-03T00:00:00"/>
    <n v="531446"/>
    <x v="1"/>
  </r>
  <r>
    <x v="220"/>
    <n v="12596"/>
    <x v="17"/>
    <n v="702"/>
    <n v="5"/>
    <n v="7"/>
    <d v="1983-09-08T00:00:00"/>
    <n v="970614"/>
    <x v="0"/>
  </r>
  <r>
    <x v="284"/>
    <n v="44415"/>
    <x v="11"/>
    <n v="738"/>
    <n v="4"/>
    <n v="10"/>
    <d v="1989-07-29T00:00:00"/>
    <n v="594754"/>
    <x v="0"/>
  </r>
  <r>
    <x v="235"/>
    <n v="38783"/>
    <x v="3"/>
    <n v="760"/>
    <n v="5"/>
    <n v="6"/>
    <d v="1994-03-25T00:00:00"/>
    <n v="642147"/>
    <x v="1"/>
  </r>
  <r>
    <x v="182"/>
    <n v="17643"/>
    <x v="0"/>
    <n v="781"/>
    <n v="5"/>
    <n v="6"/>
    <d v="1983-12-23T00:00:00"/>
    <n v="974246"/>
    <x v="0"/>
  </r>
  <r>
    <x v="285"/>
    <n v="71821"/>
    <x v="9"/>
    <n v="702"/>
    <n v="2"/>
    <n v="2"/>
    <d v="1988-09-07T00:00:00"/>
    <n v="909939"/>
    <x v="0"/>
  </r>
  <r>
    <x v="178"/>
    <n v="29417"/>
    <x v="0"/>
    <n v="787"/>
    <n v="2"/>
    <n v="4"/>
    <d v="1985-01-16T00:00:00"/>
    <n v="819203"/>
    <x v="0"/>
  </r>
  <r>
    <x v="231"/>
    <n v="38894"/>
    <x v="3"/>
    <n v="741"/>
    <n v="1"/>
    <n v="6"/>
    <d v="1980-04-17T00:00:00"/>
    <n v="713677"/>
    <x v="1"/>
  </r>
  <r>
    <x v="197"/>
    <n v="37736"/>
    <x v="14"/>
    <n v="749"/>
    <n v="1"/>
    <n v="2"/>
    <d v="1992-02-15T00:00:00"/>
    <n v="883224"/>
    <x v="0"/>
  </r>
  <r>
    <x v="14"/>
    <n v="62788"/>
    <x v="23"/>
    <n v="705"/>
    <n v="2"/>
    <n v="1"/>
    <d v="1994-05-17T00:00:00"/>
    <n v="708228"/>
    <x v="2"/>
  </r>
  <r>
    <x v="196"/>
    <n v="45530"/>
    <x v="20"/>
    <n v="721"/>
    <n v="2"/>
    <n v="9"/>
    <d v="1994-07-18T00:00:00"/>
    <n v="538884"/>
    <x v="1"/>
  </r>
  <r>
    <x v="55"/>
    <n v="49134"/>
    <x v="17"/>
    <n v="706"/>
    <n v="5"/>
    <n v="10"/>
    <d v="1982-05-23T00:00:00"/>
    <n v="647064"/>
    <x v="1"/>
  </r>
  <r>
    <x v="275"/>
    <n v="58795"/>
    <x v="12"/>
    <n v="712"/>
    <n v="4"/>
    <n v="10"/>
    <d v="1992-03-05T00:00:00"/>
    <n v="701101"/>
    <x v="2"/>
  </r>
  <r>
    <x v="238"/>
    <n v="76612"/>
    <x v="16"/>
    <n v="791"/>
    <n v="5"/>
    <n v="4"/>
    <d v="1993-10-09T00:00:00"/>
    <n v="539739"/>
    <x v="0"/>
  </r>
  <r>
    <x v="270"/>
    <n v="76168"/>
    <x v="22"/>
    <n v="721"/>
    <n v="2"/>
    <n v="10"/>
    <d v="1982-07-13T00:00:00"/>
    <n v="602910"/>
    <x v="0"/>
  </r>
  <r>
    <x v="102"/>
    <n v="87652"/>
    <x v="0"/>
    <n v="784"/>
    <n v="3"/>
    <n v="9"/>
    <d v="1981-02-28T00:00:00"/>
    <n v="757408"/>
    <x v="2"/>
  </r>
  <r>
    <x v="36"/>
    <n v="99257"/>
    <x v="2"/>
    <n v="793"/>
    <n v="5"/>
    <n v="1"/>
    <d v="1985-06-14T00:00:00"/>
    <n v="844155"/>
    <x v="0"/>
  </r>
  <r>
    <x v="286"/>
    <n v="99595"/>
    <x v="10"/>
    <n v="725"/>
    <n v="4"/>
    <n v="8"/>
    <d v="1985-09-05T00:00:00"/>
    <n v="824832"/>
    <x v="2"/>
  </r>
  <r>
    <x v="97"/>
    <n v="60673"/>
    <x v="5"/>
    <n v="781"/>
    <n v="4"/>
    <n v="10"/>
    <d v="1983-08-04T00:00:00"/>
    <n v="588374"/>
    <x v="0"/>
  </r>
  <r>
    <x v="5"/>
    <n v="72892"/>
    <x v="13"/>
    <n v="789"/>
    <n v="5"/>
    <n v="4"/>
    <d v="1986-01-04T00:00:00"/>
    <n v="704543"/>
    <x v="0"/>
  </r>
  <r>
    <x v="209"/>
    <n v="67365"/>
    <x v="21"/>
    <n v="758"/>
    <n v="4"/>
    <n v="8"/>
    <d v="1987-10-21T00:00:00"/>
    <n v="588396"/>
    <x v="1"/>
  </r>
  <r>
    <x v="183"/>
    <n v="62523"/>
    <x v="6"/>
    <n v="738"/>
    <n v="3"/>
    <n v="1"/>
    <d v="1990-12-26T00:00:00"/>
    <n v="973676"/>
    <x v="2"/>
  </r>
  <r>
    <x v="92"/>
    <n v="84606"/>
    <x v="1"/>
    <n v="706"/>
    <n v="4"/>
    <n v="7"/>
    <d v="1985-03-05T00:00:00"/>
    <n v="795220"/>
    <x v="1"/>
  </r>
  <r>
    <x v="255"/>
    <n v="68072"/>
    <x v="4"/>
    <n v="783"/>
    <n v="3"/>
    <n v="1"/>
    <d v="1983-11-09T00:00:00"/>
    <n v="824247"/>
    <x v="2"/>
  </r>
  <r>
    <x v="276"/>
    <n v="90908"/>
    <x v="11"/>
    <n v="774"/>
    <n v="4"/>
    <n v="2"/>
    <d v="1991-07-09T00:00:00"/>
    <n v="668860"/>
    <x v="2"/>
  </r>
  <r>
    <x v="287"/>
    <n v="93314"/>
    <x v="10"/>
    <n v="709"/>
    <n v="3"/>
    <n v="7"/>
    <d v="1984-03-12T00:00:00"/>
    <n v="559191"/>
    <x v="0"/>
  </r>
  <r>
    <x v="20"/>
    <n v="23446"/>
    <x v="14"/>
    <n v="728"/>
    <n v="2"/>
    <n v="6"/>
    <d v="1988-12-26T00:00:00"/>
    <n v="955694"/>
    <x v="2"/>
  </r>
  <r>
    <x v="129"/>
    <n v="51340"/>
    <x v="0"/>
    <n v="791"/>
    <n v="2"/>
    <n v="4"/>
    <d v="1986-09-03T00:00:00"/>
    <n v="996288"/>
    <x v="2"/>
  </r>
  <r>
    <x v="187"/>
    <n v="54415"/>
    <x v="8"/>
    <n v="768"/>
    <n v="2"/>
    <n v="6"/>
    <d v="1994-10-11T00:00:00"/>
    <n v="937051"/>
    <x v="2"/>
  </r>
  <r>
    <x v="288"/>
    <n v="68804"/>
    <x v="9"/>
    <n v="728"/>
    <n v="1"/>
    <n v="9"/>
    <d v="1988-02-05T00:00:00"/>
    <n v="979646"/>
    <x v="1"/>
  </r>
  <r>
    <x v="94"/>
    <n v="73497"/>
    <x v="19"/>
    <n v="701"/>
    <n v="4"/>
    <n v="6"/>
    <d v="1994-03-20T00:00:00"/>
    <n v="502276"/>
    <x v="2"/>
  </r>
  <r>
    <x v="194"/>
    <n v="25084"/>
    <x v="20"/>
    <n v="710"/>
    <n v="4"/>
    <n v="8"/>
    <d v="1983-01-04T00:00:00"/>
    <n v="709198"/>
    <x v="2"/>
  </r>
  <r>
    <x v="268"/>
    <n v="52248"/>
    <x v="14"/>
    <n v="718"/>
    <n v="4"/>
    <n v="10"/>
    <d v="1994-11-29T00:00:00"/>
    <n v="518945"/>
    <x v="2"/>
  </r>
  <r>
    <x v="289"/>
    <n v="44776"/>
    <x v="4"/>
    <n v="760"/>
    <n v="3"/>
    <n v="2"/>
    <d v="1980-04-15T00:00:00"/>
    <n v="992207"/>
    <x v="1"/>
  </r>
  <r>
    <x v="168"/>
    <n v="93333"/>
    <x v="0"/>
    <n v="724"/>
    <n v="4"/>
    <n v="2"/>
    <d v="1984-11-02T00:00:00"/>
    <n v="550209"/>
    <x v="1"/>
  </r>
  <r>
    <x v="145"/>
    <n v="94017"/>
    <x v="0"/>
    <n v="772"/>
    <n v="4"/>
    <n v="1"/>
    <d v="1984-02-11T00:00:00"/>
    <n v="717167"/>
    <x v="0"/>
  </r>
  <r>
    <x v="148"/>
    <n v="76777"/>
    <x v="9"/>
    <n v="747"/>
    <n v="1"/>
    <n v="6"/>
    <d v="1989-03-17T00:00:00"/>
    <n v="851702"/>
    <x v="1"/>
  </r>
  <r>
    <x v="290"/>
    <n v="13962"/>
    <x v="8"/>
    <n v="728"/>
    <n v="3"/>
    <n v="1"/>
    <d v="1988-03-10T00:00:00"/>
    <n v="699753"/>
    <x v="1"/>
  </r>
  <r>
    <x v="37"/>
    <n v="25311"/>
    <x v="1"/>
    <n v="748"/>
    <n v="4"/>
    <n v="3"/>
    <d v="1991-11-20T00:00:00"/>
    <n v="826757"/>
    <x v="1"/>
  </r>
  <r>
    <x v="82"/>
    <n v="24638"/>
    <x v="18"/>
    <n v="779"/>
    <n v="5"/>
    <n v="7"/>
    <d v="1986-12-19T00:00:00"/>
    <n v="701070"/>
    <x v="2"/>
  </r>
  <r>
    <x v="66"/>
    <n v="24920"/>
    <x v="23"/>
    <n v="778"/>
    <n v="5"/>
    <n v="8"/>
    <d v="1984-08-18T00:00:00"/>
    <n v="901164"/>
    <x v="1"/>
  </r>
  <r>
    <x v="189"/>
    <n v="18601"/>
    <x v="19"/>
    <n v="702"/>
    <n v="2"/>
    <n v="8"/>
    <d v="1984-05-25T00:00:00"/>
    <n v="701342"/>
    <x v="2"/>
  </r>
  <r>
    <x v="79"/>
    <n v="47369"/>
    <x v="17"/>
    <n v="748"/>
    <n v="5"/>
    <n v="9"/>
    <d v="1981-11-19T00:00:00"/>
    <n v="936650"/>
    <x v="0"/>
  </r>
  <r>
    <x v="103"/>
    <n v="25737"/>
    <x v="8"/>
    <n v="732"/>
    <n v="3"/>
    <n v="9"/>
    <d v="1986-06-01T00:00:00"/>
    <n v="805788"/>
    <x v="2"/>
  </r>
  <r>
    <x v="246"/>
    <n v="66512"/>
    <x v="4"/>
    <n v="721"/>
    <n v="2"/>
    <n v="1"/>
    <d v="1984-02-19T00:00:00"/>
    <n v="995024"/>
    <x v="2"/>
  </r>
  <r>
    <x v="174"/>
    <n v="12037"/>
    <x v="16"/>
    <n v="775"/>
    <n v="2"/>
    <n v="8"/>
    <d v="1989-12-27T00:00:00"/>
    <n v="539159"/>
    <x v="2"/>
  </r>
  <r>
    <x v="192"/>
    <n v="16734"/>
    <x v="20"/>
    <n v="706"/>
    <n v="4"/>
    <n v="4"/>
    <d v="1980-10-20T00:00:00"/>
    <n v="907385"/>
    <x v="2"/>
  </r>
  <r>
    <x v="190"/>
    <n v="70828"/>
    <x v="22"/>
    <n v="780"/>
    <n v="4"/>
    <n v="10"/>
    <d v="1986-11-11T00:00:00"/>
    <n v="649264"/>
    <x v="1"/>
  </r>
  <r>
    <x v="291"/>
    <n v="65304"/>
    <x v="10"/>
    <n v="721"/>
    <n v="3"/>
    <n v="6"/>
    <d v="1983-05-25T00:00:00"/>
    <n v="858624"/>
    <x v="0"/>
  </r>
  <r>
    <x v="110"/>
    <n v="56750"/>
    <x v="9"/>
    <n v="717"/>
    <n v="2"/>
    <n v="1"/>
    <d v="1994-03-04T00:00:00"/>
    <n v="581915"/>
    <x v="2"/>
  </r>
  <r>
    <x v="292"/>
    <n v="93695"/>
    <x v="18"/>
    <n v="742"/>
    <n v="4"/>
    <n v="2"/>
    <d v="1982-10-13T00:00:00"/>
    <n v="920501"/>
    <x v="2"/>
  </r>
  <r>
    <x v="232"/>
    <n v="50920"/>
    <x v="21"/>
    <n v="707"/>
    <n v="1"/>
    <n v="5"/>
    <d v="1989-10-30T00:00:00"/>
    <n v="577254"/>
    <x v="2"/>
  </r>
  <r>
    <x v="250"/>
    <n v="75985"/>
    <x v="19"/>
    <n v="754"/>
    <n v="2"/>
    <n v="7"/>
    <d v="1984-09-22T00:00:00"/>
    <n v="658749"/>
    <x v="1"/>
  </r>
  <r>
    <x v="293"/>
    <n v="47600"/>
    <x v="13"/>
    <n v="786"/>
    <n v="1"/>
    <n v="3"/>
    <d v="1983-09-06T00:00:00"/>
    <n v="629181"/>
    <x v="0"/>
  </r>
  <r>
    <x v="142"/>
    <n v="47831"/>
    <x v="11"/>
    <n v="701"/>
    <n v="5"/>
    <n v="5"/>
    <d v="1991-09-19T00:00:00"/>
    <n v="755674"/>
    <x v="0"/>
  </r>
  <r>
    <x v="216"/>
    <n v="65776"/>
    <x v="17"/>
    <n v="777"/>
    <n v="5"/>
    <n v="5"/>
    <d v="1985-08-10T00:00:00"/>
    <n v="937733"/>
    <x v="1"/>
  </r>
  <r>
    <x v="233"/>
    <n v="45142"/>
    <x v="20"/>
    <n v="730"/>
    <n v="2"/>
    <n v="4"/>
    <d v="1993-01-17T00:00:00"/>
    <n v="790012"/>
    <x v="2"/>
  </r>
  <r>
    <x v="239"/>
    <n v="31489"/>
    <x v="20"/>
    <n v="735"/>
    <n v="5"/>
    <n v="1"/>
    <d v="1992-01-02T00:00:00"/>
    <n v="675858"/>
    <x v="2"/>
  </r>
  <r>
    <x v="279"/>
    <n v="63373"/>
    <x v="13"/>
    <n v="702"/>
    <n v="1"/>
    <n v="2"/>
    <d v="1985-04-11T00:00:00"/>
    <n v="597273"/>
    <x v="0"/>
  </r>
  <r>
    <x v="23"/>
    <n v="94111"/>
    <x v="4"/>
    <n v="794"/>
    <n v="3"/>
    <n v="2"/>
    <d v="1985-04-15T00:00:00"/>
    <n v="675347"/>
    <x v="1"/>
  </r>
  <r>
    <x v="66"/>
    <n v="73017"/>
    <x v="9"/>
    <n v="702"/>
    <n v="3"/>
    <n v="6"/>
    <d v="1984-10-12T00:00:00"/>
    <n v="780960"/>
    <x v="1"/>
  </r>
  <r>
    <x v="225"/>
    <n v="92852"/>
    <x v="12"/>
    <n v="701"/>
    <n v="4"/>
    <n v="1"/>
    <d v="1988-11-28T00:00:00"/>
    <n v="976983"/>
    <x v="2"/>
  </r>
  <r>
    <x v="195"/>
    <n v="48555"/>
    <x v="20"/>
    <n v="727"/>
    <n v="1"/>
    <n v="1"/>
    <d v="1982-12-23T00:00:00"/>
    <n v="791998"/>
    <x v="0"/>
  </r>
  <r>
    <x v="23"/>
    <n v="33025"/>
    <x v="4"/>
    <n v="720"/>
    <n v="5"/>
    <n v="5"/>
    <d v="1989-10-29T00:00:00"/>
    <n v="985846"/>
    <x v="0"/>
  </r>
  <r>
    <x v="53"/>
    <n v="85377"/>
    <x v="19"/>
    <n v="794"/>
    <n v="1"/>
    <n v="1"/>
    <d v="1991-08-24T00:00:00"/>
    <n v="748644"/>
    <x v="1"/>
  </r>
  <r>
    <x v="238"/>
    <n v="32109"/>
    <x v="11"/>
    <n v="756"/>
    <n v="4"/>
    <n v="6"/>
    <d v="1985-07-05T00:00:00"/>
    <n v="988754"/>
    <x v="2"/>
  </r>
  <r>
    <x v="294"/>
    <n v="33024"/>
    <x v="11"/>
    <n v="759"/>
    <n v="5"/>
    <n v="3"/>
    <d v="1984-09-23T00:00:00"/>
    <n v="774185"/>
    <x v="0"/>
  </r>
  <r>
    <x v="184"/>
    <n v="56492"/>
    <x v="9"/>
    <n v="738"/>
    <n v="3"/>
    <n v="7"/>
    <d v="1984-01-03T00:00:00"/>
    <n v="581204"/>
    <x v="0"/>
  </r>
  <r>
    <x v="168"/>
    <n v="26996"/>
    <x v="15"/>
    <n v="743"/>
    <n v="5"/>
    <n v="7"/>
    <d v="1991-01-26T00:00:00"/>
    <n v="730063"/>
    <x v="0"/>
  </r>
  <r>
    <x v="13"/>
    <n v="74602"/>
    <x v="5"/>
    <n v="749"/>
    <n v="1"/>
    <n v="8"/>
    <d v="1990-10-18T00:00:00"/>
    <n v="552345"/>
    <x v="0"/>
  </r>
  <r>
    <x v="0"/>
    <n v="93694"/>
    <x v="17"/>
    <n v="745"/>
    <n v="5"/>
    <n v="10"/>
    <d v="1987-01-06T00:00:00"/>
    <n v="601147"/>
    <x v="1"/>
  </r>
  <r>
    <x v="295"/>
    <n v="73290"/>
    <x v="21"/>
    <n v="701"/>
    <n v="3"/>
    <n v="4"/>
    <d v="1993-02-05T00:00:00"/>
    <n v="799929"/>
    <x v="2"/>
  </r>
  <r>
    <x v="285"/>
    <n v="21126"/>
    <x v="3"/>
    <n v="788"/>
    <n v="3"/>
    <n v="9"/>
    <d v="1986-03-14T00:00:00"/>
    <n v="660011"/>
    <x v="2"/>
  </r>
  <r>
    <x v="233"/>
    <n v="52113"/>
    <x v="2"/>
    <n v="797"/>
    <n v="5"/>
    <n v="3"/>
    <d v="1986-12-22T00:00:00"/>
    <n v="773951"/>
    <x v="2"/>
  </r>
  <r>
    <x v="296"/>
    <n v="85030"/>
    <x v="16"/>
    <n v="791"/>
    <n v="4"/>
    <n v="8"/>
    <d v="1988-11-15T00:00:00"/>
    <n v="514612"/>
    <x v="2"/>
  </r>
  <r>
    <x v="107"/>
    <n v="37637"/>
    <x v="23"/>
    <n v="704"/>
    <n v="4"/>
    <n v="10"/>
    <d v="1987-10-27T00:00:00"/>
    <n v="693106"/>
    <x v="0"/>
  </r>
  <r>
    <x v="297"/>
    <n v="71901"/>
    <x v="15"/>
    <n v="786"/>
    <n v="4"/>
    <n v="6"/>
    <d v="1987-10-14T00:00:00"/>
    <n v="588495"/>
    <x v="2"/>
  </r>
  <r>
    <x v="51"/>
    <n v="85468"/>
    <x v="1"/>
    <n v="749"/>
    <n v="5"/>
    <n v="6"/>
    <d v="1981-08-16T00:00:00"/>
    <n v="719399"/>
    <x v="1"/>
  </r>
  <r>
    <x v="47"/>
    <n v="57336"/>
    <x v="1"/>
    <n v="779"/>
    <n v="5"/>
    <n v="10"/>
    <d v="1982-08-21T00:00:00"/>
    <n v="560702"/>
    <x v="0"/>
  </r>
  <r>
    <x v="218"/>
    <n v="27308"/>
    <x v="8"/>
    <n v="752"/>
    <n v="2"/>
    <n v="5"/>
    <d v="1986-01-14T00:00:00"/>
    <n v="560996"/>
    <x v="0"/>
  </r>
  <r>
    <x v="298"/>
    <n v="77929"/>
    <x v="15"/>
    <n v="721"/>
    <n v="5"/>
    <n v="3"/>
    <d v="1987-09-21T00:00:00"/>
    <n v="896645"/>
    <x v="2"/>
  </r>
  <r>
    <x v="141"/>
    <n v="17824"/>
    <x v="19"/>
    <n v="781"/>
    <n v="5"/>
    <n v="4"/>
    <d v="1983-05-26T00:00:00"/>
    <n v="745179"/>
    <x v="2"/>
  </r>
  <r>
    <x v="79"/>
    <n v="16626"/>
    <x v="22"/>
    <n v="711"/>
    <n v="3"/>
    <n v="4"/>
    <d v="1985-10-01T00:00:00"/>
    <n v="566242"/>
    <x v="1"/>
  </r>
  <r>
    <x v="266"/>
    <n v="23341"/>
    <x v="21"/>
    <n v="723"/>
    <n v="5"/>
    <n v="7"/>
    <d v="1985-08-09T00:00:00"/>
    <n v="566764"/>
    <x v="1"/>
  </r>
  <r>
    <x v="140"/>
    <n v="65397"/>
    <x v="0"/>
    <n v="767"/>
    <n v="4"/>
    <n v="1"/>
    <d v="1982-07-16T00:00:00"/>
    <n v="975822"/>
    <x v="0"/>
  </r>
  <r>
    <x v="144"/>
    <n v="54400"/>
    <x v="0"/>
    <n v="754"/>
    <n v="1"/>
    <n v="10"/>
    <d v="1984-04-08T00:00:00"/>
    <n v="675139"/>
    <x v="2"/>
  </r>
  <r>
    <x v="224"/>
    <n v="88756"/>
    <x v="23"/>
    <n v="782"/>
    <n v="1"/>
    <n v="5"/>
    <d v="1993-09-19T00:00:00"/>
    <n v="812143"/>
    <x v="1"/>
  </r>
  <r>
    <x v="299"/>
    <n v="13872"/>
    <x v="10"/>
    <n v="749"/>
    <n v="4"/>
    <n v="9"/>
    <d v="1981-02-16T00:00:00"/>
    <n v="513168"/>
    <x v="1"/>
  </r>
  <r>
    <x v="212"/>
    <n v="67423"/>
    <x v="20"/>
    <n v="707"/>
    <n v="2"/>
    <n v="6"/>
    <d v="1994-08-05T00:00:00"/>
    <n v="651523"/>
    <x v="0"/>
  </r>
  <r>
    <x v="65"/>
    <n v="22986"/>
    <x v="19"/>
    <n v="773"/>
    <n v="1"/>
    <n v="6"/>
    <d v="1990-07-05T00:00:00"/>
    <n v="958742"/>
    <x v="1"/>
  </r>
  <r>
    <x v="99"/>
    <n v="93329"/>
    <x v="8"/>
    <n v="780"/>
    <n v="5"/>
    <n v="2"/>
    <d v="1980-06-02T00:00:00"/>
    <n v="501611"/>
    <x v="0"/>
  </r>
  <r>
    <x v="240"/>
    <n v="32818"/>
    <x v="3"/>
    <n v="721"/>
    <n v="4"/>
    <n v="8"/>
    <d v="1990-12-29T00:00:00"/>
    <n v="913989"/>
    <x v="0"/>
  </r>
  <r>
    <x v="200"/>
    <n v="68286"/>
    <x v="18"/>
    <n v="782"/>
    <n v="5"/>
    <n v="9"/>
    <d v="1982-02-21T00:00:00"/>
    <n v="860088"/>
    <x v="0"/>
  </r>
  <r>
    <x v="179"/>
    <n v="81971"/>
    <x v="20"/>
    <n v="737"/>
    <n v="2"/>
    <n v="8"/>
    <d v="1986-07-14T00:00:00"/>
    <n v="949805"/>
    <x v="1"/>
  </r>
  <r>
    <x v="300"/>
    <n v="20146"/>
    <x v="12"/>
    <n v="775"/>
    <n v="4"/>
    <n v="7"/>
    <d v="1985-01-16T00:00:00"/>
    <n v="956480"/>
    <x v="1"/>
  </r>
  <r>
    <x v="142"/>
    <n v="63506"/>
    <x v="17"/>
    <n v="705"/>
    <n v="4"/>
    <n v="9"/>
    <d v="1987-07-14T00:00:00"/>
    <n v="981173"/>
    <x v="2"/>
  </r>
  <r>
    <x v="173"/>
    <n v="45428"/>
    <x v="23"/>
    <n v="782"/>
    <n v="5"/>
    <n v="3"/>
    <d v="1982-04-15T00:00:00"/>
    <n v="616349"/>
    <x v="0"/>
  </r>
  <r>
    <x v="158"/>
    <n v="86462"/>
    <x v="9"/>
    <n v="701"/>
    <n v="1"/>
    <n v="8"/>
    <d v="1987-07-21T00:00:00"/>
    <n v="916244"/>
    <x v="1"/>
  </r>
  <r>
    <x v="202"/>
    <n v="30763"/>
    <x v="5"/>
    <n v="747"/>
    <n v="2"/>
    <n v="2"/>
    <d v="1993-04-23T00:00:00"/>
    <n v="865981"/>
    <x v="0"/>
  </r>
  <r>
    <x v="104"/>
    <n v="10594"/>
    <x v="5"/>
    <n v="764"/>
    <n v="4"/>
    <n v="10"/>
    <d v="1985-03-23T00:00:00"/>
    <n v="605195"/>
    <x v="1"/>
  </r>
  <r>
    <x v="142"/>
    <n v="37893"/>
    <x v="19"/>
    <n v="780"/>
    <n v="5"/>
    <n v="9"/>
    <d v="1993-11-17T00:00:00"/>
    <n v="544939"/>
    <x v="2"/>
  </r>
  <r>
    <x v="153"/>
    <n v="35349"/>
    <x v="21"/>
    <n v="785"/>
    <n v="1"/>
    <n v="5"/>
    <d v="1985-02-13T00:00:00"/>
    <n v="908893"/>
    <x v="2"/>
  </r>
  <r>
    <x v="62"/>
    <n v="50662"/>
    <x v="3"/>
    <n v="756"/>
    <n v="4"/>
    <n v="5"/>
    <d v="1992-06-29T00:00:00"/>
    <n v="727711"/>
    <x v="1"/>
  </r>
  <r>
    <x v="271"/>
    <n v="60718"/>
    <x v="17"/>
    <n v="704"/>
    <n v="2"/>
    <n v="3"/>
    <d v="1994-06-08T00:00:00"/>
    <n v="742117"/>
    <x v="0"/>
  </r>
  <r>
    <x v="120"/>
    <n v="94341"/>
    <x v="13"/>
    <n v="747"/>
    <n v="2"/>
    <n v="10"/>
    <d v="1981-06-01T00:00:00"/>
    <n v="980054"/>
    <x v="2"/>
  </r>
  <r>
    <x v="39"/>
    <n v="69843"/>
    <x v="10"/>
    <n v="704"/>
    <n v="2"/>
    <n v="1"/>
    <d v="1983-06-18T00:00:00"/>
    <n v="564431"/>
    <x v="0"/>
  </r>
  <r>
    <x v="17"/>
    <n v="16301"/>
    <x v="6"/>
    <n v="754"/>
    <n v="2"/>
    <n v="10"/>
    <d v="1984-11-18T00:00:00"/>
    <n v="510077"/>
    <x v="1"/>
  </r>
  <r>
    <x v="116"/>
    <n v="36271"/>
    <x v="13"/>
    <n v="783"/>
    <n v="3"/>
    <n v="1"/>
    <d v="1987-12-29T00:00:00"/>
    <n v="763053"/>
    <x v="0"/>
  </r>
  <r>
    <x v="62"/>
    <n v="52014"/>
    <x v="0"/>
    <n v="769"/>
    <n v="2"/>
    <n v="8"/>
    <d v="1990-02-16T00:00:00"/>
    <n v="697289"/>
    <x v="2"/>
  </r>
  <r>
    <x v="249"/>
    <n v="40231"/>
    <x v="18"/>
    <n v="727"/>
    <n v="1"/>
    <n v="2"/>
    <d v="1983-08-21T00:00:00"/>
    <n v="926458"/>
    <x v="0"/>
  </r>
  <r>
    <x v="206"/>
    <n v="90401"/>
    <x v="16"/>
    <n v="788"/>
    <n v="4"/>
    <n v="4"/>
    <d v="1993-05-22T00:00:00"/>
    <n v="541072"/>
    <x v="1"/>
  </r>
  <r>
    <x v="98"/>
    <n v="45815"/>
    <x v="14"/>
    <n v="766"/>
    <n v="4"/>
    <n v="3"/>
    <d v="1986-12-01T00:00:00"/>
    <n v="929726"/>
    <x v="2"/>
  </r>
  <r>
    <x v="138"/>
    <n v="98390"/>
    <x v="8"/>
    <n v="752"/>
    <n v="2"/>
    <n v="5"/>
    <d v="1981-09-06T00:00:00"/>
    <n v="570686"/>
    <x v="2"/>
  </r>
  <r>
    <x v="150"/>
    <n v="19699"/>
    <x v="21"/>
    <n v="728"/>
    <n v="3"/>
    <n v="8"/>
    <d v="1986-06-05T00:00:00"/>
    <n v="725775"/>
    <x v="2"/>
  </r>
  <r>
    <x v="178"/>
    <n v="55935"/>
    <x v="15"/>
    <n v="746"/>
    <n v="1"/>
    <n v="9"/>
    <d v="1990-04-16T00:00:00"/>
    <n v="508324"/>
    <x v="2"/>
  </r>
  <r>
    <x v="251"/>
    <n v="29979"/>
    <x v="2"/>
    <n v="759"/>
    <n v="4"/>
    <n v="9"/>
    <d v="1984-05-16T00:00:00"/>
    <n v="721137"/>
    <x v="0"/>
  </r>
  <r>
    <x v="18"/>
    <n v="14973"/>
    <x v="17"/>
    <n v="747"/>
    <n v="3"/>
    <n v="1"/>
    <d v="1980-02-03T00:00:00"/>
    <n v="668710"/>
    <x v="1"/>
  </r>
  <r>
    <x v="301"/>
    <n v="17959"/>
    <x v="5"/>
    <n v="766"/>
    <n v="3"/>
    <n v="2"/>
    <d v="1985-09-25T00:00:00"/>
    <n v="670428"/>
    <x v="0"/>
  </r>
  <r>
    <x v="104"/>
    <n v="17983"/>
    <x v="18"/>
    <n v="758"/>
    <n v="2"/>
    <n v="7"/>
    <d v="1986-04-23T00:00:00"/>
    <n v="847229"/>
    <x v="1"/>
  </r>
  <r>
    <x v="101"/>
    <n v="29633"/>
    <x v="11"/>
    <n v="771"/>
    <n v="5"/>
    <n v="2"/>
    <d v="1990-02-16T00:00:00"/>
    <n v="669917"/>
    <x v="2"/>
  </r>
  <r>
    <x v="87"/>
    <n v="75456"/>
    <x v="7"/>
    <n v="774"/>
    <n v="4"/>
    <n v="3"/>
    <d v="1983-08-30T00:00:00"/>
    <n v="990091"/>
    <x v="1"/>
  </r>
  <r>
    <x v="94"/>
    <n v="61438"/>
    <x v="18"/>
    <n v="704"/>
    <n v="4"/>
    <n v="6"/>
    <d v="1984-06-18T00:00:00"/>
    <n v="632671"/>
    <x v="0"/>
  </r>
  <r>
    <x v="52"/>
    <n v="54730"/>
    <x v="4"/>
    <n v="726"/>
    <n v="1"/>
    <n v="1"/>
    <d v="1984-08-26T00:00:00"/>
    <n v="694525"/>
    <x v="0"/>
  </r>
  <r>
    <x v="76"/>
    <n v="22403"/>
    <x v="6"/>
    <n v="774"/>
    <n v="4"/>
    <n v="9"/>
    <d v="1982-12-19T00:00:00"/>
    <n v="945314"/>
    <x v="1"/>
  </r>
  <r>
    <x v="112"/>
    <n v="24460"/>
    <x v="14"/>
    <n v="731"/>
    <n v="5"/>
    <n v="2"/>
    <d v="1993-01-06T00:00:00"/>
    <n v="929077"/>
    <x v="0"/>
  </r>
  <r>
    <x v="61"/>
    <n v="15555"/>
    <x v="13"/>
    <n v="761"/>
    <n v="5"/>
    <n v="1"/>
    <d v="1989-01-30T00:00:00"/>
    <n v="641971"/>
    <x v="2"/>
  </r>
  <r>
    <x v="37"/>
    <n v="31572"/>
    <x v="8"/>
    <n v="716"/>
    <n v="5"/>
    <n v="3"/>
    <d v="1993-01-04T00:00:00"/>
    <n v="986183"/>
    <x v="0"/>
  </r>
  <r>
    <x v="39"/>
    <n v="94468"/>
    <x v="3"/>
    <n v="703"/>
    <n v="4"/>
    <n v="2"/>
    <d v="1992-01-06T00:00:00"/>
    <n v="525840"/>
    <x v="1"/>
  </r>
  <r>
    <x v="7"/>
    <n v="98284"/>
    <x v="6"/>
    <n v="722"/>
    <n v="5"/>
    <n v="3"/>
    <d v="1985-11-15T00:00:00"/>
    <n v="865509"/>
    <x v="0"/>
  </r>
  <r>
    <x v="282"/>
    <n v="38660"/>
    <x v="2"/>
    <n v="755"/>
    <n v="2"/>
    <n v="7"/>
    <d v="1993-04-09T00:00:00"/>
    <n v="983501"/>
    <x v="0"/>
  </r>
  <r>
    <x v="38"/>
    <n v="98925"/>
    <x v="0"/>
    <n v="743"/>
    <n v="1"/>
    <n v="1"/>
    <d v="1983-12-02T00:00:00"/>
    <n v="553339"/>
    <x v="0"/>
  </r>
  <r>
    <x v="177"/>
    <n v="65148"/>
    <x v="7"/>
    <n v="756"/>
    <n v="5"/>
    <n v="1"/>
    <d v="1982-09-09T00:00:00"/>
    <n v="549563"/>
    <x v="1"/>
  </r>
  <r>
    <x v="9"/>
    <n v="71954"/>
    <x v="16"/>
    <n v="710"/>
    <n v="2"/>
    <n v="1"/>
    <d v="1985-02-09T00:00:00"/>
    <n v="596391"/>
    <x v="2"/>
  </r>
  <r>
    <x v="152"/>
    <n v="85361"/>
    <x v="18"/>
    <n v="750"/>
    <n v="2"/>
    <n v="3"/>
    <d v="1990-06-26T00:00:00"/>
    <n v="932471"/>
    <x v="2"/>
  </r>
  <r>
    <x v="27"/>
    <n v="48460"/>
    <x v="9"/>
    <n v="763"/>
    <n v="5"/>
    <n v="7"/>
    <d v="1994-01-12T00:00:00"/>
    <n v="892876"/>
    <x v="2"/>
  </r>
  <r>
    <x v="7"/>
    <n v="28260"/>
    <x v="23"/>
    <n v="777"/>
    <n v="1"/>
    <n v="10"/>
    <d v="1987-04-20T00:00:00"/>
    <n v="759460"/>
    <x v="2"/>
  </r>
  <r>
    <x v="63"/>
    <n v="79019"/>
    <x v="12"/>
    <n v="722"/>
    <n v="4"/>
    <n v="8"/>
    <d v="1992-11-21T00:00:00"/>
    <n v="937822"/>
    <x v="1"/>
  </r>
  <r>
    <x v="191"/>
    <n v="48370"/>
    <x v="19"/>
    <n v="792"/>
    <n v="2"/>
    <n v="6"/>
    <d v="1993-10-01T00:00:00"/>
    <n v="971965"/>
    <x v="2"/>
  </r>
  <r>
    <x v="224"/>
    <n v="83571"/>
    <x v="19"/>
    <n v="728"/>
    <n v="3"/>
    <n v="5"/>
    <d v="1992-07-02T00:00:00"/>
    <n v="819520"/>
    <x v="2"/>
  </r>
  <r>
    <x v="186"/>
    <n v="14826"/>
    <x v="3"/>
    <n v="774"/>
    <n v="4"/>
    <n v="8"/>
    <d v="1992-03-03T00:00:00"/>
    <n v="814530"/>
    <x v="1"/>
  </r>
  <r>
    <x v="21"/>
    <n v="78823"/>
    <x v="1"/>
    <n v="752"/>
    <n v="1"/>
    <n v="3"/>
    <d v="1990-12-23T00:00:00"/>
    <n v="953866"/>
    <x v="1"/>
  </r>
  <r>
    <x v="10"/>
    <n v="34005"/>
    <x v="15"/>
    <n v="713"/>
    <n v="2"/>
    <n v="1"/>
    <d v="1990-09-13T00:00:00"/>
    <n v="736970"/>
    <x v="0"/>
  </r>
  <r>
    <x v="302"/>
    <n v="50325"/>
    <x v="2"/>
    <n v="784"/>
    <n v="3"/>
    <n v="8"/>
    <d v="1990-07-14T00:00:00"/>
    <n v="565722"/>
    <x v="1"/>
  </r>
  <r>
    <x v="150"/>
    <n v="13130"/>
    <x v="20"/>
    <n v="730"/>
    <n v="3"/>
    <n v="1"/>
    <d v="1994-06-11T00:00:00"/>
    <n v="734947"/>
    <x v="1"/>
  </r>
  <r>
    <x v="7"/>
    <n v="45759"/>
    <x v="23"/>
    <n v="734"/>
    <n v="5"/>
    <n v="6"/>
    <d v="1981-05-21T00:00:00"/>
    <n v="935278"/>
    <x v="1"/>
  </r>
  <r>
    <x v="33"/>
    <n v="98695"/>
    <x v="23"/>
    <n v="704"/>
    <n v="2"/>
    <n v="4"/>
    <d v="1981-10-31T00:00:00"/>
    <n v="721081"/>
    <x v="2"/>
  </r>
  <r>
    <x v="145"/>
    <n v="72401"/>
    <x v="9"/>
    <n v="718"/>
    <n v="1"/>
    <n v="7"/>
    <d v="1986-01-17T00:00:00"/>
    <n v="586165"/>
    <x v="2"/>
  </r>
  <r>
    <x v="65"/>
    <n v="85134"/>
    <x v="6"/>
    <n v="728"/>
    <n v="4"/>
    <n v="8"/>
    <d v="1985-11-27T00:00:00"/>
    <n v="557403"/>
    <x v="0"/>
  </r>
  <r>
    <x v="229"/>
    <n v="94412"/>
    <x v="22"/>
    <n v="786"/>
    <n v="4"/>
    <n v="2"/>
    <d v="1991-12-30T00:00:00"/>
    <n v="877945"/>
    <x v="1"/>
  </r>
  <r>
    <x v="93"/>
    <n v="98555"/>
    <x v="23"/>
    <n v="743"/>
    <n v="5"/>
    <n v="8"/>
    <d v="1993-03-09T00:00:00"/>
    <n v="557735"/>
    <x v="1"/>
  </r>
  <r>
    <x v="303"/>
    <n v="71644"/>
    <x v="22"/>
    <n v="723"/>
    <n v="1"/>
    <n v="1"/>
    <d v="1989-04-02T00:00:00"/>
    <n v="898684"/>
    <x v="0"/>
  </r>
  <r>
    <x v="252"/>
    <n v="53794"/>
    <x v="9"/>
    <n v="723"/>
    <n v="2"/>
    <n v="9"/>
    <d v="1983-06-03T00:00:00"/>
    <n v="999597"/>
    <x v="1"/>
  </r>
  <r>
    <x v="185"/>
    <n v="52610"/>
    <x v="16"/>
    <n v="800"/>
    <n v="5"/>
    <n v="9"/>
    <d v="1992-05-07T00:00:00"/>
    <n v="917930"/>
    <x v="0"/>
  </r>
  <r>
    <x v="234"/>
    <n v="54452"/>
    <x v="22"/>
    <n v="765"/>
    <n v="3"/>
    <n v="3"/>
    <d v="1992-04-06T00:00:00"/>
    <n v="864291"/>
    <x v="0"/>
  </r>
  <r>
    <x v="231"/>
    <n v="62573"/>
    <x v="8"/>
    <n v="703"/>
    <n v="3"/>
    <n v="10"/>
    <d v="1993-11-21T00:00:00"/>
    <n v="694026"/>
    <x v="2"/>
  </r>
  <r>
    <x v="119"/>
    <n v="17465"/>
    <x v="22"/>
    <n v="748"/>
    <n v="4"/>
    <n v="5"/>
    <d v="1988-10-17T00:00:00"/>
    <n v="862990"/>
    <x v="1"/>
  </r>
  <r>
    <x v="211"/>
    <n v="58255"/>
    <x v="9"/>
    <n v="796"/>
    <n v="4"/>
    <n v="5"/>
    <d v="1993-05-22T00:00:00"/>
    <n v="570936"/>
    <x v="2"/>
  </r>
  <r>
    <x v="257"/>
    <n v="15392"/>
    <x v="10"/>
    <n v="704"/>
    <n v="4"/>
    <n v="10"/>
    <d v="1992-12-25T00:00:00"/>
    <n v="940130"/>
    <x v="0"/>
  </r>
  <r>
    <x v="41"/>
    <n v="93307"/>
    <x v="16"/>
    <n v="762"/>
    <n v="5"/>
    <n v="9"/>
    <d v="1993-05-10T00:00:00"/>
    <n v="923284"/>
    <x v="0"/>
  </r>
  <r>
    <x v="12"/>
    <n v="76210"/>
    <x v="5"/>
    <n v="796"/>
    <n v="3"/>
    <n v="5"/>
    <d v="1988-07-12T00:00:00"/>
    <n v="580793"/>
    <x v="1"/>
  </r>
  <r>
    <x v="91"/>
    <n v="77353"/>
    <x v="18"/>
    <n v="758"/>
    <n v="5"/>
    <n v="9"/>
    <d v="1981-01-14T00:00:00"/>
    <n v="847258"/>
    <x v="0"/>
  </r>
  <r>
    <x v="83"/>
    <n v="34273"/>
    <x v="9"/>
    <n v="768"/>
    <n v="4"/>
    <n v="5"/>
    <d v="1984-12-19T00:00:00"/>
    <n v="506736"/>
    <x v="1"/>
  </r>
  <r>
    <x v="292"/>
    <n v="84750"/>
    <x v="12"/>
    <n v="749"/>
    <n v="1"/>
    <n v="5"/>
    <d v="1981-08-24T00:00:00"/>
    <n v="867752"/>
    <x v="2"/>
  </r>
  <r>
    <x v="255"/>
    <n v="39641"/>
    <x v="11"/>
    <n v="793"/>
    <n v="2"/>
    <n v="6"/>
    <d v="1983-12-20T00:00:00"/>
    <n v="839870"/>
    <x v="1"/>
  </r>
  <r>
    <x v="133"/>
    <n v="38013"/>
    <x v="10"/>
    <n v="756"/>
    <n v="5"/>
    <n v="9"/>
    <d v="1993-11-15T00:00:00"/>
    <n v="512988"/>
    <x v="2"/>
  </r>
  <r>
    <x v="253"/>
    <n v="17970"/>
    <x v="11"/>
    <n v="748"/>
    <n v="5"/>
    <n v="1"/>
    <d v="1980-03-16T00:00:00"/>
    <n v="855983"/>
    <x v="2"/>
  </r>
  <r>
    <x v="304"/>
    <n v="82087"/>
    <x v="14"/>
    <n v="767"/>
    <n v="3"/>
    <n v="3"/>
    <d v="1989-08-14T00:00:00"/>
    <n v="839506"/>
    <x v="2"/>
  </r>
  <r>
    <x v="21"/>
    <n v="69407"/>
    <x v="4"/>
    <n v="754"/>
    <n v="3"/>
    <n v="3"/>
    <d v="1988-06-06T00:00:00"/>
    <n v="850355"/>
    <x v="0"/>
  </r>
  <r>
    <x v="172"/>
    <n v="51439"/>
    <x v="5"/>
    <n v="784"/>
    <n v="2"/>
    <n v="6"/>
    <d v="1986-10-19T00:00:00"/>
    <n v="698767"/>
    <x v="1"/>
  </r>
  <r>
    <x v="144"/>
    <n v="96597"/>
    <x v="12"/>
    <n v="711"/>
    <n v="3"/>
    <n v="5"/>
    <d v="1982-10-03T00:00:00"/>
    <n v="979209"/>
    <x v="1"/>
  </r>
  <r>
    <x v="45"/>
    <n v="62604"/>
    <x v="17"/>
    <n v="781"/>
    <n v="1"/>
    <n v="8"/>
    <d v="1980-12-10T00:00:00"/>
    <n v="624867"/>
    <x v="1"/>
  </r>
  <r>
    <x v="228"/>
    <n v="11075"/>
    <x v="22"/>
    <n v="713"/>
    <n v="5"/>
    <n v="1"/>
    <d v="1983-02-22T00:00:00"/>
    <n v="622640"/>
    <x v="2"/>
  </r>
  <r>
    <x v="264"/>
    <n v="92028"/>
    <x v="0"/>
    <n v="763"/>
    <n v="4"/>
    <n v="9"/>
    <d v="1981-07-11T00:00:00"/>
    <n v="563736"/>
    <x v="1"/>
  </r>
  <r>
    <x v="160"/>
    <n v="30370"/>
    <x v="4"/>
    <n v="781"/>
    <n v="1"/>
    <n v="10"/>
    <d v="1982-10-16T00:00:00"/>
    <n v="968094"/>
    <x v="2"/>
  </r>
  <r>
    <x v="277"/>
    <n v="19054"/>
    <x v="7"/>
    <n v="711"/>
    <n v="5"/>
    <n v="10"/>
    <d v="1989-03-29T00:00:00"/>
    <n v="881748"/>
    <x v="2"/>
  </r>
  <r>
    <x v="283"/>
    <n v="93308"/>
    <x v="21"/>
    <n v="784"/>
    <n v="1"/>
    <n v="7"/>
    <d v="1989-07-26T00:00:00"/>
    <n v="744871"/>
    <x v="1"/>
  </r>
  <r>
    <x v="248"/>
    <n v="75614"/>
    <x v="11"/>
    <n v="729"/>
    <n v="1"/>
    <n v="7"/>
    <d v="1990-10-06T00:00:00"/>
    <n v="545164"/>
    <x v="2"/>
  </r>
  <r>
    <x v="305"/>
    <n v="26093"/>
    <x v="10"/>
    <n v="747"/>
    <n v="1"/>
    <n v="7"/>
    <d v="1989-06-14T00:00:00"/>
    <n v="824245"/>
    <x v="1"/>
  </r>
  <r>
    <x v="179"/>
    <n v="12031"/>
    <x v="22"/>
    <n v="777"/>
    <n v="4"/>
    <n v="2"/>
    <d v="1983-05-11T00:00:00"/>
    <n v="875258"/>
    <x v="1"/>
  </r>
  <r>
    <x v="175"/>
    <n v="59382"/>
    <x v="22"/>
    <n v="730"/>
    <n v="2"/>
    <n v="7"/>
    <d v="1984-05-13T00:00:00"/>
    <n v="801163"/>
    <x v="1"/>
  </r>
  <r>
    <x v="68"/>
    <n v="48790"/>
    <x v="13"/>
    <n v="708"/>
    <n v="5"/>
    <n v="10"/>
    <d v="1986-04-17T00:00:00"/>
    <n v="537442"/>
    <x v="2"/>
  </r>
  <r>
    <x v="50"/>
    <n v="89837"/>
    <x v="18"/>
    <n v="711"/>
    <n v="1"/>
    <n v="8"/>
    <d v="1989-03-24T00:00:00"/>
    <n v="693530"/>
    <x v="1"/>
  </r>
  <r>
    <x v="148"/>
    <n v="77042"/>
    <x v="2"/>
    <n v="747"/>
    <n v="5"/>
    <n v="5"/>
    <d v="1991-04-27T00:00:00"/>
    <n v="949239"/>
    <x v="1"/>
  </r>
  <r>
    <x v="204"/>
    <n v="67996"/>
    <x v="3"/>
    <n v="799"/>
    <n v="5"/>
    <n v="10"/>
    <d v="1994-09-01T00:00:00"/>
    <n v="581105"/>
    <x v="2"/>
  </r>
  <r>
    <x v="301"/>
    <n v="99363"/>
    <x v="12"/>
    <n v="736"/>
    <n v="5"/>
    <n v="8"/>
    <d v="1984-04-10T00:00:00"/>
    <n v="562888"/>
    <x v="0"/>
  </r>
  <r>
    <x v="273"/>
    <n v="10898"/>
    <x v="10"/>
    <n v="719"/>
    <n v="1"/>
    <n v="3"/>
    <d v="1994-12-08T00:00:00"/>
    <n v="668384"/>
    <x v="0"/>
  </r>
  <r>
    <x v="260"/>
    <n v="29743"/>
    <x v="9"/>
    <n v="741"/>
    <n v="3"/>
    <n v="5"/>
    <d v="1985-06-29T00:00:00"/>
    <n v="578374"/>
    <x v="1"/>
  </r>
  <r>
    <x v="166"/>
    <n v="47015"/>
    <x v="16"/>
    <n v="713"/>
    <n v="1"/>
    <n v="7"/>
    <d v="1983-01-06T00:00:00"/>
    <n v="611606"/>
    <x v="0"/>
  </r>
  <r>
    <x v="80"/>
    <n v="10568"/>
    <x v="21"/>
    <n v="730"/>
    <n v="1"/>
    <n v="8"/>
    <d v="1988-03-12T00:00:00"/>
    <n v="630670"/>
    <x v="1"/>
  </r>
  <r>
    <x v="82"/>
    <n v="36742"/>
    <x v="19"/>
    <n v="763"/>
    <n v="1"/>
    <n v="6"/>
    <d v="1988-06-15T00:00:00"/>
    <n v="983476"/>
    <x v="0"/>
  </r>
  <r>
    <x v="223"/>
    <n v="47028"/>
    <x v="3"/>
    <n v="736"/>
    <n v="3"/>
    <n v="2"/>
    <d v="1986-05-04T00:00:00"/>
    <n v="854328"/>
    <x v="2"/>
  </r>
  <r>
    <x v="275"/>
    <n v="14105"/>
    <x v="15"/>
    <n v="799"/>
    <n v="2"/>
    <n v="5"/>
    <d v="1983-09-18T00:00:00"/>
    <n v="641083"/>
    <x v="2"/>
  </r>
  <r>
    <x v="218"/>
    <n v="84873"/>
    <x v="7"/>
    <n v="786"/>
    <n v="1"/>
    <n v="3"/>
    <d v="1994-07-10T00:00:00"/>
    <n v="712355"/>
    <x v="2"/>
  </r>
  <r>
    <x v="59"/>
    <n v="68730"/>
    <x v="20"/>
    <n v="766"/>
    <n v="3"/>
    <n v="6"/>
    <d v="1980-09-02T00:00:00"/>
    <n v="590362"/>
    <x v="1"/>
  </r>
  <r>
    <x v="198"/>
    <n v="99258"/>
    <x v="14"/>
    <n v="800"/>
    <n v="1"/>
    <n v="8"/>
    <d v="1981-10-13T00:00:00"/>
    <n v="644680"/>
    <x v="0"/>
  </r>
  <r>
    <x v="118"/>
    <n v="86342"/>
    <x v="14"/>
    <n v="712"/>
    <n v="2"/>
    <n v="1"/>
    <d v="1994-11-04T00:00:00"/>
    <n v="520268"/>
    <x v="0"/>
  </r>
  <r>
    <x v="129"/>
    <n v="39613"/>
    <x v="10"/>
    <n v="778"/>
    <n v="2"/>
    <n v="10"/>
    <d v="1984-02-08T00:00:00"/>
    <n v="991520"/>
    <x v="0"/>
  </r>
  <r>
    <x v="259"/>
    <n v="34129"/>
    <x v="15"/>
    <n v="784"/>
    <n v="3"/>
    <n v="1"/>
    <d v="1982-10-05T00:00:00"/>
    <n v="946533"/>
    <x v="1"/>
  </r>
  <r>
    <x v="134"/>
    <n v="14333"/>
    <x v="8"/>
    <n v="791"/>
    <n v="3"/>
    <n v="8"/>
    <d v="1987-05-23T00:00:00"/>
    <n v="637256"/>
    <x v="0"/>
  </r>
  <r>
    <x v="172"/>
    <n v="55712"/>
    <x v="15"/>
    <n v="717"/>
    <n v="4"/>
    <n v="8"/>
    <d v="1987-11-09T00:00:00"/>
    <n v="926315"/>
    <x v="0"/>
  </r>
  <r>
    <x v="222"/>
    <n v="43140"/>
    <x v="11"/>
    <n v="790"/>
    <n v="1"/>
    <n v="10"/>
    <d v="1991-07-27T00:00:00"/>
    <n v="690767"/>
    <x v="1"/>
  </r>
  <r>
    <x v="278"/>
    <n v="67409"/>
    <x v="21"/>
    <n v="738"/>
    <n v="1"/>
    <n v="1"/>
    <d v="1993-12-13T00:00:00"/>
    <n v="588039"/>
    <x v="1"/>
  </r>
  <r>
    <x v="303"/>
    <n v="42015"/>
    <x v="3"/>
    <n v="715"/>
    <n v="5"/>
    <n v="3"/>
    <d v="1989-12-09T00:00:00"/>
    <n v="951265"/>
    <x v="0"/>
  </r>
  <r>
    <x v="236"/>
    <n v="87945"/>
    <x v="5"/>
    <n v="704"/>
    <n v="2"/>
    <n v="3"/>
    <d v="1980-10-25T00:00:00"/>
    <n v="735776"/>
    <x v="2"/>
  </r>
  <r>
    <x v="130"/>
    <n v="51552"/>
    <x v="17"/>
    <n v="776"/>
    <n v="2"/>
    <n v="10"/>
    <d v="1984-09-11T00:00:00"/>
    <n v="962906"/>
    <x v="2"/>
  </r>
  <r>
    <x v="96"/>
    <n v="56716"/>
    <x v="2"/>
    <n v="784"/>
    <n v="5"/>
    <n v="10"/>
    <d v="1991-05-10T00:00:00"/>
    <n v="845891"/>
    <x v="1"/>
  </r>
  <r>
    <x v="99"/>
    <n v="25193"/>
    <x v="14"/>
    <n v="721"/>
    <n v="2"/>
    <n v="3"/>
    <d v="1987-01-31T00:00:00"/>
    <n v="717802"/>
    <x v="2"/>
  </r>
  <r>
    <x v="255"/>
    <n v="15531"/>
    <x v="15"/>
    <n v="783"/>
    <n v="5"/>
    <n v="8"/>
    <d v="1987-12-26T00:00:00"/>
    <n v="945602"/>
    <x v="2"/>
  </r>
  <r>
    <x v="306"/>
    <n v="14820"/>
    <x v="5"/>
    <n v="784"/>
    <n v="2"/>
    <n v="6"/>
    <d v="1992-04-26T00:00:00"/>
    <n v="959169"/>
    <x v="1"/>
  </r>
  <r>
    <x v="47"/>
    <n v="94706"/>
    <x v="17"/>
    <n v="718"/>
    <n v="1"/>
    <n v="2"/>
    <d v="1988-07-01T00:00:00"/>
    <n v="765265"/>
    <x v="2"/>
  </r>
  <r>
    <x v="129"/>
    <n v="18287"/>
    <x v="7"/>
    <n v="703"/>
    <n v="3"/>
    <n v="3"/>
    <d v="1986-03-06T00:00:00"/>
    <n v="651096"/>
    <x v="1"/>
  </r>
  <r>
    <x v="86"/>
    <n v="33013"/>
    <x v="10"/>
    <n v="766"/>
    <n v="4"/>
    <n v="10"/>
    <d v="1990-05-13T00:00:00"/>
    <n v="609677"/>
    <x v="2"/>
  </r>
  <r>
    <x v="119"/>
    <n v="71151"/>
    <x v="12"/>
    <n v="737"/>
    <n v="1"/>
    <n v="10"/>
    <d v="1985-03-14T00:00:00"/>
    <n v="582154"/>
    <x v="2"/>
  </r>
  <r>
    <x v="24"/>
    <n v="77027"/>
    <x v="22"/>
    <n v="783"/>
    <n v="2"/>
    <n v="1"/>
    <d v="1980-01-23T00:00:00"/>
    <n v="773882"/>
    <x v="1"/>
  </r>
  <r>
    <x v="254"/>
    <n v="66416"/>
    <x v="14"/>
    <n v="715"/>
    <n v="2"/>
    <n v="9"/>
    <d v="1985-03-16T00:00:00"/>
    <n v="599224"/>
    <x v="1"/>
  </r>
  <r>
    <x v="307"/>
    <n v="56294"/>
    <x v="7"/>
    <n v="711"/>
    <n v="3"/>
    <n v="10"/>
    <d v="1984-08-31T00:00:00"/>
    <n v="765713"/>
    <x v="0"/>
  </r>
  <r>
    <x v="235"/>
    <n v="44734"/>
    <x v="22"/>
    <n v="796"/>
    <n v="1"/>
    <n v="6"/>
    <d v="1991-02-05T00:00:00"/>
    <n v="776281"/>
    <x v="1"/>
  </r>
  <r>
    <x v="139"/>
    <n v="78090"/>
    <x v="18"/>
    <n v="779"/>
    <n v="4"/>
    <n v="1"/>
    <d v="1983-08-21T00:00:00"/>
    <n v="511371"/>
    <x v="0"/>
  </r>
  <r>
    <x v="305"/>
    <n v="96451"/>
    <x v="6"/>
    <n v="732"/>
    <n v="4"/>
    <n v="5"/>
    <d v="1992-07-05T00:00:00"/>
    <n v="948797"/>
    <x v="1"/>
  </r>
  <r>
    <x v="191"/>
    <n v="18301"/>
    <x v="16"/>
    <n v="700"/>
    <n v="5"/>
    <n v="10"/>
    <d v="1991-11-06T00:00:00"/>
    <n v="532162"/>
    <x v="0"/>
  </r>
  <r>
    <x v="64"/>
    <n v="46301"/>
    <x v="22"/>
    <n v="789"/>
    <n v="2"/>
    <n v="3"/>
    <d v="1988-10-18T00:00:00"/>
    <n v="522574"/>
    <x v="2"/>
  </r>
  <r>
    <x v="292"/>
    <n v="79812"/>
    <x v="13"/>
    <n v="703"/>
    <n v="2"/>
    <n v="6"/>
    <d v="1984-12-26T00:00:00"/>
    <n v="749612"/>
    <x v="0"/>
  </r>
  <r>
    <x v="35"/>
    <n v="29381"/>
    <x v="22"/>
    <n v="762"/>
    <n v="3"/>
    <n v="4"/>
    <d v="1986-05-08T00:00:00"/>
    <n v="856227"/>
    <x v="0"/>
  </r>
  <r>
    <x v="62"/>
    <n v="49301"/>
    <x v="23"/>
    <n v="760"/>
    <n v="5"/>
    <n v="3"/>
    <d v="1988-10-26T00:00:00"/>
    <n v="930103"/>
    <x v="0"/>
  </r>
  <r>
    <x v="210"/>
    <n v="27484"/>
    <x v="10"/>
    <n v="792"/>
    <n v="3"/>
    <n v="7"/>
    <d v="1981-02-10T00:00:00"/>
    <n v="894228"/>
    <x v="0"/>
  </r>
  <r>
    <x v="226"/>
    <n v="22173"/>
    <x v="19"/>
    <n v="730"/>
    <n v="5"/>
    <n v="9"/>
    <d v="1991-10-30T00:00:00"/>
    <n v="606031"/>
    <x v="1"/>
  </r>
  <r>
    <x v="132"/>
    <n v="54376"/>
    <x v="19"/>
    <n v="788"/>
    <n v="2"/>
    <n v="10"/>
    <d v="1988-10-16T00:00:00"/>
    <n v="826701"/>
    <x v="2"/>
  </r>
  <r>
    <x v="240"/>
    <n v="65661"/>
    <x v="18"/>
    <n v="735"/>
    <n v="3"/>
    <n v="5"/>
    <d v="1991-06-18T00:00:00"/>
    <n v="669792"/>
    <x v="2"/>
  </r>
  <r>
    <x v="194"/>
    <n v="61481"/>
    <x v="4"/>
    <n v="722"/>
    <n v="1"/>
    <n v="9"/>
    <d v="1990-04-05T00:00:00"/>
    <n v="875570"/>
    <x v="0"/>
  </r>
  <r>
    <x v="308"/>
    <n v="94928"/>
    <x v="12"/>
    <n v="767"/>
    <n v="4"/>
    <n v="8"/>
    <d v="1984-05-22T00:00:00"/>
    <n v="646484"/>
    <x v="1"/>
  </r>
  <r>
    <x v="233"/>
    <n v="40486"/>
    <x v="19"/>
    <n v="759"/>
    <n v="5"/>
    <n v="3"/>
    <d v="1984-09-19T00:00:00"/>
    <n v="668078"/>
    <x v="0"/>
  </r>
  <r>
    <x v="247"/>
    <n v="64958"/>
    <x v="11"/>
    <n v="754"/>
    <n v="5"/>
    <n v="4"/>
    <d v="1983-10-06T00:00:00"/>
    <n v="937616"/>
    <x v="2"/>
  </r>
  <r>
    <x v="289"/>
    <n v="70729"/>
    <x v="22"/>
    <n v="764"/>
    <n v="5"/>
    <n v="6"/>
    <d v="1991-05-09T00:00:00"/>
    <n v="677063"/>
    <x v="1"/>
  </r>
  <r>
    <x v="243"/>
    <n v="96414"/>
    <x v="7"/>
    <n v="745"/>
    <n v="5"/>
    <n v="9"/>
    <d v="1990-02-26T00:00:00"/>
    <n v="803817"/>
    <x v="0"/>
  </r>
  <r>
    <x v="219"/>
    <n v="33677"/>
    <x v="12"/>
    <n v="782"/>
    <n v="4"/>
    <n v="6"/>
    <d v="1992-07-24T00:00:00"/>
    <n v="821477"/>
    <x v="1"/>
  </r>
  <r>
    <x v="221"/>
    <n v="58063"/>
    <x v="22"/>
    <n v="765"/>
    <n v="2"/>
    <n v="9"/>
    <d v="1982-11-01T00:00:00"/>
    <n v="657984"/>
    <x v="1"/>
  </r>
  <r>
    <x v="124"/>
    <n v="81615"/>
    <x v="1"/>
    <n v="712"/>
    <n v="3"/>
    <n v="2"/>
    <d v="1981-12-25T00:00:00"/>
    <n v="679377"/>
    <x v="2"/>
  </r>
  <r>
    <x v="121"/>
    <n v="20244"/>
    <x v="19"/>
    <n v="767"/>
    <n v="1"/>
    <n v="10"/>
    <d v="1992-12-25T00:00:00"/>
    <n v="962286"/>
    <x v="1"/>
  </r>
  <r>
    <x v="19"/>
    <n v="97648"/>
    <x v="3"/>
    <n v="775"/>
    <n v="3"/>
    <n v="9"/>
    <d v="1990-10-28T00:00:00"/>
    <n v="860215"/>
    <x v="2"/>
  </r>
  <r>
    <x v="40"/>
    <n v="50647"/>
    <x v="5"/>
    <n v="753"/>
    <n v="5"/>
    <n v="2"/>
    <d v="1985-01-30T00:00:00"/>
    <n v="522681"/>
    <x v="1"/>
  </r>
  <r>
    <x v="306"/>
    <n v="13236"/>
    <x v="16"/>
    <n v="728"/>
    <n v="2"/>
    <n v="3"/>
    <d v="1988-02-03T00:00:00"/>
    <n v="555277"/>
    <x v="0"/>
  </r>
  <r>
    <x v="91"/>
    <n v="61444"/>
    <x v="7"/>
    <n v="783"/>
    <n v="1"/>
    <n v="2"/>
    <d v="1983-11-24T00:00:00"/>
    <n v="857148"/>
    <x v="0"/>
  </r>
  <r>
    <x v="233"/>
    <n v="26611"/>
    <x v="7"/>
    <n v="726"/>
    <n v="5"/>
    <n v="3"/>
    <d v="1981-05-15T00:00:00"/>
    <n v="870214"/>
    <x v="1"/>
  </r>
  <r>
    <x v="282"/>
    <n v="91537"/>
    <x v="17"/>
    <n v="756"/>
    <n v="5"/>
    <n v="2"/>
    <d v="1991-02-20T00:00:00"/>
    <n v="627376"/>
    <x v="0"/>
  </r>
  <r>
    <x v="133"/>
    <n v="32099"/>
    <x v="18"/>
    <n v="756"/>
    <n v="4"/>
    <n v="10"/>
    <d v="1984-07-15T00:00:00"/>
    <n v="954359"/>
    <x v="2"/>
  </r>
  <r>
    <x v="240"/>
    <n v="28619"/>
    <x v="10"/>
    <n v="704"/>
    <n v="4"/>
    <n v="1"/>
    <d v="1986-12-13T00:00:00"/>
    <n v="646469"/>
    <x v="0"/>
  </r>
  <r>
    <x v="309"/>
    <n v="20711"/>
    <x v="21"/>
    <n v="761"/>
    <n v="1"/>
    <n v="2"/>
    <d v="1988-05-25T00:00:00"/>
    <n v="826223"/>
    <x v="2"/>
  </r>
  <r>
    <x v="132"/>
    <n v="75218"/>
    <x v="8"/>
    <n v="713"/>
    <n v="2"/>
    <n v="5"/>
    <d v="1990-01-06T00:00:00"/>
    <n v="876627"/>
    <x v="0"/>
  </r>
  <r>
    <x v="182"/>
    <n v="22308"/>
    <x v="2"/>
    <n v="782"/>
    <n v="3"/>
    <n v="4"/>
    <d v="1981-02-24T00:00:00"/>
    <n v="695501"/>
    <x v="2"/>
  </r>
  <r>
    <x v="222"/>
    <n v="40929"/>
    <x v="16"/>
    <n v="718"/>
    <n v="1"/>
    <n v="3"/>
    <d v="1988-12-16T00:00:00"/>
    <n v="533267"/>
    <x v="2"/>
  </r>
  <r>
    <x v="47"/>
    <n v="57724"/>
    <x v="11"/>
    <n v="786"/>
    <n v="5"/>
    <n v="1"/>
    <d v="1982-12-20T00:00:00"/>
    <n v="887534"/>
    <x v="1"/>
  </r>
  <r>
    <x v="168"/>
    <n v="97800"/>
    <x v="9"/>
    <n v="763"/>
    <n v="3"/>
    <n v="4"/>
    <d v="1981-10-14T00:00:00"/>
    <n v="861672"/>
    <x v="1"/>
  </r>
  <r>
    <x v="50"/>
    <n v="11126"/>
    <x v="1"/>
    <n v="777"/>
    <n v="5"/>
    <n v="1"/>
    <d v="1989-08-19T00:00:00"/>
    <n v="672213"/>
    <x v="1"/>
  </r>
  <r>
    <x v="309"/>
    <n v="94574"/>
    <x v="18"/>
    <n v="720"/>
    <n v="5"/>
    <n v="9"/>
    <d v="1991-09-27T00:00:00"/>
    <n v="906952"/>
    <x v="1"/>
  </r>
  <r>
    <x v="287"/>
    <n v="16350"/>
    <x v="15"/>
    <n v="716"/>
    <n v="5"/>
    <n v="10"/>
    <d v="1984-04-23T00:00:00"/>
    <n v="821944"/>
    <x v="0"/>
  </r>
  <r>
    <x v="19"/>
    <n v="82645"/>
    <x v="22"/>
    <n v="743"/>
    <n v="3"/>
    <n v="1"/>
    <d v="1980-03-28T00:00:00"/>
    <n v="680862"/>
    <x v="1"/>
  </r>
  <r>
    <x v="63"/>
    <n v="38073"/>
    <x v="21"/>
    <n v="798"/>
    <n v="3"/>
    <n v="3"/>
    <d v="1986-11-27T00:00:00"/>
    <n v="693830"/>
    <x v="2"/>
  </r>
  <r>
    <x v="245"/>
    <n v="14716"/>
    <x v="3"/>
    <n v="745"/>
    <n v="1"/>
    <n v="5"/>
    <d v="1986-09-12T00:00:00"/>
    <n v="777241"/>
    <x v="2"/>
  </r>
  <r>
    <x v="292"/>
    <n v="81159"/>
    <x v="8"/>
    <n v="763"/>
    <n v="3"/>
    <n v="9"/>
    <d v="1982-05-30T00:00:00"/>
    <n v="975228"/>
    <x v="0"/>
  </r>
  <r>
    <x v="48"/>
    <n v="53880"/>
    <x v="8"/>
    <n v="701"/>
    <n v="5"/>
    <n v="7"/>
    <d v="1983-12-14T00:00:00"/>
    <n v="771214"/>
    <x v="2"/>
  </r>
  <r>
    <x v="221"/>
    <n v="99629"/>
    <x v="2"/>
    <n v="740"/>
    <n v="2"/>
    <n v="10"/>
    <d v="1992-02-11T00:00:00"/>
    <n v="565545"/>
    <x v="1"/>
  </r>
  <r>
    <x v="252"/>
    <n v="24234"/>
    <x v="12"/>
    <n v="747"/>
    <n v="3"/>
    <n v="10"/>
    <d v="1992-11-08T00:00:00"/>
    <n v="765449"/>
    <x v="0"/>
  </r>
  <r>
    <x v="310"/>
    <n v="31539"/>
    <x v="0"/>
    <n v="790"/>
    <n v="1"/>
    <n v="7"/>
    <d v="1985-01-18T00:00:00"/>
    <n v="682740"/>
    <x v="2"/>
  </r>
  <r>
    <x v="70"/>
    <n v="81827"/>
    <x v="3"/>
    <n v="785"/>
    <n v="5"/>
    <n v="3"/>
    <d v="1986-03-24T00:00:00"/>
    <n v="980836"/>
    <x v="1"/>
  </r>
  <r>
    <x v="291"/>
    <n v="45458"/>
    <x v="21"/>
    <n v="755"/>
    <n v="1"/>
    <n v="7"/>
    <d v="1989-08-28T00:00:00"/>
    <n v="689069"/>
    <x v="2"/>
  </r>
  <r>
    <x v="260"/>
    <n v="67627"/>
    <x v="5"/>
    <n v="729"/>
    <n v="3"/>
    <n v="1"/>
    <d v="1992-11-17T00:00:00"/>
    <n v="806247"/>
    <x v="1"/>
  </r>
  <r>
    <x v="13"/>
    <n v="72047"/>
    <x v="4"/>
    <n v="705"/>
    <n v="4"/>
    <n v="1"/>
    <d v="1988-08-31T00:00:00"/>
    <n v="804174"/>
    <x v="2"/>
  </r>
  <r>
    <x v="229"/>
    <n v="93155"/>
    <x v="4"/>
    <n v="798"/>
    <n v="2"/>
    <n v="8"/>
    <d v="1991-04-24T00:00:00"/>
    <n v="966413"/>
    <x v="2"/>
  </r>
  <r>
    <x v="255"/>
    <n v="80058"/>
    <x v="5"/>
    <n v="795"/>
    <n v="4"/>
    <n v="6"/>
    <d v="1980-02-28T00:00:00"/>
    <n v="617424"/>
    <x v="1"/>
  </r>
  <r>
    <x v="269"/>
    <n v="79415"/>
    <x v="0"/>
    <n v="750"/>
    <n v="4"/>
    <n v="8"/>
    <d v="1989-01-18T00:00:00"/>
    <n v="539918"/>
    <x v="2"/>
  </r>
  <r>
    <x v="159"/>
    <n v="46354"/>
    <x v="20"/>
    <n v="700"/>
    <n v="3"/>
    <n v="3"/>
    <d v="1986-07-24T00:00:00"/>
    <n v="598644"/>
    <x v="1"/>
  </r>
  <r>
    <x v="145"/>
    <n v="12868"/>
    <x v="21"/>
    <n v="747"/>
    <n v="4"/>
    <n v="9"/>
    <d v="1994-05-16T00:00:00"/>
    <n v="624403"/>
    <x v="0"/>
  </r>
  <r>
    <x v="156"/>
    <n v="54769"/>
    <x v="5"/>
    <n v="732"/>
    <n v="2"/>
    <n v="3"/>
    <d v="1984-02-28T00:00:00"/>
    <n v="788050"/>
    <x v="2"/>
  </r>
  <r>
    <x v="16"/>
    <n v="18483"/>
    <x v="8"/>
    <n v="800"/>
    <n v="2"/>
    <n v="6"/>
    <d v="1987-07-18T00:00:00"/>
    <n v="707675"/>
    <x v="0"/>
  </r>
  <r>
    <x v="253"/>
    <n v="78797"/>
    <x v="3"/>
    <n v="735"/>
    <n v="5"/>
    <n v="5"/>
    <d v="1986-09-28T00:00:00"/>
    <n v="832627"/>
    <x v="0"/>
  </r>
  <r>
    <x v="299"/>
    <n v="32940"/>
    <x v="18"/>
    <n v="765"/>
    <n v="1"/>
    <n v="2"/>
    <d v="1985-01-30T00:00:00"/>
    <n v="804818"/>
    <x v="0"/>
  </r>
  <r>
    <x v="152"/>
    <n v="54381"/>
    <x v="18"/>
    <n v="798"/>
    <n v="2"/>
    <n v="2"/>
    <d v="1986-02-04T00:00:00"/>
    <n v="869201"/>
    <x v="1"/>
  </r>
  <r>
    <x v="272"/>
    <n v="64344"/>
    <x v="17"/>
    <n v="701"/>
    <n v="2"/>
    <n v="10"/>
    <d v="1983-11-14T00:00:00"/>
    <n v="824500"/>
    <x v="1"/>
  </r>
  <r>
    <x v="269"/>
    <n v="41689"/>
    <x v="3"/>
    <n v="714"/>
    <n v="4"/>
    <n v="5"/>
    <d v="1990-10-25T00:00:00"/>
    <n v="631899"/>
    <x v="0"/>
  </r>
  <r>
    <x v="124"/>
    <n v="95894"/>
    <x v="9"/>
    <n v="715"/>
    <n v="3"/>
    <n v="8"/>
    <d v="1980-07-12T00:00:00"/>
    <n v="695967"/>
    <x v="0"/>
  </r>
  <r>
    <x v="30"/>
    <n v="35780"/>
    <x v="2"/>
    <n v="763"/>
    <n v="1"/>
    <n v="7"/>
    <d v="1981-08-11T00:00:00"/>
    <n v="526782"/>
    <x v="0"/>
  </r>
  <r>
    <x v="311"/>
    <n v="28120"/>
    <x v="2"/>
    <n v="735"/>
    <n v="3"/>
    <n v="3"/>
    <d v="1993-03-27T00:00:00"/>
    <n v="761956"/>
    <x v="0"/>
  </r>
  <r>
    <x v="232"/>
    <n v="98400"/>
    <x v="4"/>
    <n v="728"/>
    <n v="1"/>
    <n v="3"/>
    <d v="1983-02-18T00:00:00"/>
    <n v="928898"/>
    <x v="1"/>
  </r>
  <r>
    <x v="311"/>
    <n v="39285"/>
    <x v="6"/>
    <n v="800"/>
    <n v="5"/>
    <n v="1"/>
    <d v="1980-09-20T00:00:00"/>
    <n v="845711"/>
    <x v="0"/>
  </r>
  <r>
    <x v="6"/>
    <n v="60601"/>
    <x v="6"/>
    <n v="718"/>
    <n v="1"/>
    <n v="9"/>
    <d v="1986-04-05T00:00:00"/>
    <n v="659772"/>
    <x v="2"/>
  </r>
  <r>
    <x v="312"/>
    <n v="52124"/>
    <x v="8"/>
    <n v="704"/>
    <n v="4"/>
    <n v="4"/>
    <d v="1985-12-25T00:00:00"/>
    <n v="883451"/>
    <x v="1"/>
  </r>
  <r>
    <x v="141"/>
    <n v="48906"/>
    <x v="3"/>
    <n v="764"/>
    <n v="4"/>
    <n v="3"/>
    <d v="1993-10-23T00:00:00"/>
    <n v="598402"/>
    <x v="2"/>
  </r>
  <r>
    <x v="163"/>
    <n v="94013"/>
    <x v="19"/>
    <n v="746"/>
    <n v="5"/>
    <n v="3"/>
    <d v="1989-01-17T00:00:00"/>
    <n v="766825"/>
    <x v="1"/>
  </r>
  <r>
    <x v="313"/>
    <n v="91564"/>
    <x v="7"/>
    <n v="733"/>
    <n v="3"/>
    <n v="3"/>
    <d v="1993-10-28T00:00:00"/>
    <n v="520185"/>
    <x v="2"/>
  </r>
  <r>
    <x v="171"/>
    <n v="77571"/>
    <x v="8"/>
    <n v="768"/>
    <n v="5"/>
    <n v="3"/>
    <d v="1985-07-25T00:00:00"/>
    <n v="652693"/>
    <x v="0"/>
  </r>
  <r>
    <x v="252"/>
    <n v="62920"/>
    <x v="11"/>
    <n v="797"/>
    <n v="4"/>
    <n v="1"/>
    <d v="1984-07-23T00:00:00"/>
    <n v="974604"/>
    <x v="1"/>
  </r>
  <r>
    <x v="24"/>
    <n v="51657"/>
    <x v="16"/>
    <n v="700"/>
    <n v="3"/>
    <n v="10"/>
    <d v="1994-02-08T00:00:00"/>
    <n v="652556"/>
    <x v="0"/>
  </r>
  <r>
    <x v="162"/>
    <n v="27189"/>
    <x v="6"/>
    <n v="792"/>
    <n v="5"/>
    <n v="8"/>
    <d v="1980-11-09T00:00:00"/>
    <n v="981713"/>
    <x v="1"/>
  </r>
  <r>
    <x v="216"/>
    <n v="95814"/>
    <x v="14"/>
    <n v="780"/>
    <n v="3"/>
    <n v="7"/>
    <d v="1980-04-22T00:00:00"/>
    <n v="825297"/>
    <x v="1"/>
  </r>
  <r>
    <x v="66"/>
    <n v="56624"/>
    <x v="1"/>
    <n v="732"/>
    <n v="4"/>
    <n v="9"/>
    <d v="1983-09-28T00:00:00"/>
    <n v="848351"/>
    <x v="2"/>
  </r>
  <r>
    <x v="203"/>
    <n v="60042"/>
    <x v="16"/>
    <n v="775"/>
    <n v="5"/>
    <n v="8"/>
    <d v="1981-03-14T00:00:00"/>
    <n v="777439"/>
    <x v="0"/>
  </r>
  <r>
    <x v="99"/>
    <n v="54677"/>
    <x v="0"/>
    <n v="775"/>
    <n v="2"/>
    <n v="9"/>
    <d v="1988-02-02T00:00:00"/>
    <n v="792628"/>
    <x v="1"/>
  </r>
  <r>
    <x v="311"/>
    <n v="95702"/>
    <x v="3"/>
    <n v="776"/>
    <n v="1"/>
    <n v="8"/>
    <d v="1980-04-14T00:00:00"/>
    <n v="849554"/>
    <x v="1"/>
  </r>
  <r>
    <x v="241"/>
    <n v="33695"/>
    <x v="12"/>
    <n v="752"/>
    <n v="4"/>
    <n v="10"/>
    <d v="1983-01-28T00:00:00"/>
    <n v="542294"/>
    <x v="1"/>
  </r>
  <r>
    <x v="88"/>
    <n v="60864"/>
    <x v="13"/>
    <n v="780"/>
    <n v="2"/>
    <n v="5"/>
    <d v="1981-04-24T00:00:00"/>
    <n v="701846"/>
    <x v="2"/>
  </r>
  <r>
    <x v="174"/>
    <n v="85562"/>
    <x v="14"/>
    <n v="800"/>
    <n v="3"/>
    <n v="1"/>
    <d v="1990-07-30T00:00:00"/>
    <n v="714928"/>
    <x v="1"/>
  </r>
  <r>
    <x v="202"/>
    <n v="95010"/>
    <x v="22"/>
    <n v="765"/>
    <n v="1"/>
    <n v="4"/>
    <d v="1994-09-30T00:00:00"/>
    <n v="649481"/>
    <x v="2"/>
  </r>
  <r>
    <x v="314"/>
    <n v="89337"/>
    <x v="16"/>
    <n v="706"/>
    <n v="1"/>
    <n v="2"/>
    <d v="1988-02-18T00:00:00"/>
    <n v="818937"/>
    <x v="2"/>
  </r>
  <r>
    <x v="175"/>
    <n v="80935"/>
    <x v="17"/>
    <n v="794"/>
    <n v="1"/>
    <n v="9"/>
    <d v="1991-04-15T00:00:00"/>
    <n v="836244"/>
    <x v="0"/>
  </r>
  <r>
    <x v="1"/>
    <n v="91116"/>
    <x v="20"/>
    <n v="760"/>
    <n v="5"/>
    <n v="5"/>
    <d v="1981-05-05T00:00:00"/>
    <n v="976620"/>
    <x v="0"/>
  </r>
  <r>
    <x v="235"/>
    <n v="91781"/>
    <x v="20"/>
    <n v="712"/>
    <n v="2"/>
    <n v="3"/>
    <d v="1994-11-11T00:00:00"/>
    <n v="688316"/>
    <x v="2"/>
  </r>
  <r>
    <x v="178"/>
    <n v="31188"/>
    <x v="14"/>
    <n v="753"/>
    <n v="1"/>
    <n v="4"/>
    <d v="1990-07-06T00:00:00"/>
    <n v="507723"/>
    <x v="1"/>
  </r>
  <r>
    <x v="235"/>
    <n v="90362"/>
    <x v="11"/>
    <n v="729"/>
    <n v="2"/>
    <n v="5"/>
    <d v="1983-03-07T00:00:00"/>
    <n v="950691"/>
    <x v="0"/>
  </r>
  <r>
    <x v="293"/>
    <n v="13218"/>
    <x v="0"/>
    <n v="797"/>
    <n v="3"/>
    <n v="9"/>
    <d v="1988-03-31T00:00:00"/>
    <n v="905122"/>
    <x v="0"/>
  </r>
  <r>
    <x v="68"/>
    <n v="32247"/>
    <x v="6"/>
    <n v="773"/>
    <n v="2"/>
    <n v="5"/>
    <d v="1985-09-22T00:00:00"/>
    <n v="620964"/>
    <x v="1"/>
  </r>
  <r>
    <x v="315"/>
    <n v="54770"/>
    <x v="16"/>
    <n v="719"/>
    <n v="5"/>
    <n v="4"/>
    <d v="1984-03-25T00:00:00"/>
    <n v="888508"/>
    <x v="1"/>
  </r>
  <r>
    <x v="91"/>
    <n v="15093"/>
    <x v="12"/>
    <n v="799"/>
    <n v="3"/>
    <n v="8"/>
    <d v="1983-01-19T00:00:00"/>
    <n v="878722"/>
    <x v="0"/>
  </r>
  <r>
    <x v="25"/>
    <n v="41003"/>
    <x v="9"/>
    <n v="728"/>
    <n v="1"/>
    <n v="8"/>
    <d v="1994-08-19T00:00:00"/>
    <n v="840484"/>
    <x v="0"/>
  </r>
  <r>
    <x v="316"/>
    <n v="71360"/>
    <x v="22"/>
    <n v="759"/>
    <n v="1"/>
    <n v="2"/>
    <d v="1990-04-02T00:00:00"/>
    <n v="549585"/>
    <x v="1"/>
  </r>
  <r>
    <x v="96"/>
    <n v="81825"/>
    <x v="4"/>
    <n v="799"/>
    <n v="4"/>
    <n v="3"/>
    <d v="1994-07-16T00:00:00"/>
    <n v="536781"/>
    <x v="1"/>
  </r>
  <r>
    <x v="79"/>
    <n v="51621"/>
    <x v="14"/>
    <n v="710"/>
    <n v="4"/>
    <n v="5"/>
    <d v="1990-03-24T00:00:00"/>
    <n v="595939"/>
    <x v="0"/>
  </r>
  <r>
    <x v="239"/>
    <n v="80975"/>
    <x v="2"/>
    <n v="721"/>
    <n v="5"/>
    <n v="5"/>
    <d v="1980-05-10T00:00:00"/>
    <n v="566056"/>
    <x v="0"/>
  </r>
  <r>
    <x v="137"/>
    <n v="51491"/>
    <x v="0"/>
    <n v="757"/>
    <n v="5"/>
    <n v="1"/>
    <d v="1991-05-02T00:00:00"/>
    <n v="986196"/>
    <x v="1"/>
  </r>
  <r>
    <x v="317"/>
    <n v="69793"/>
    <x v="18"/>
    <n v="748"/>
    <n v="5"/>
    <n v="1"/>
    <d v="1989-09-05T00:00:00"/>
    <n v="813370"/>
    <x v="0"/>
  </r>
  <r>
    <x v="229"/>
    <n v="39086"/>
    <x v="21"/>
    <n v="729"/>
    <n v="3"/>
    <n v="2"/>
    <d v="1993-06-18T00:00:00"/>
    <n v="556577"/>
    <x v="0"/>
  </r>
  <r>
    <x v="291"/>
    <n v="23190"/>
    <x v="11"/>
    <n v="746"/>
    <n v="3"/>
    <n v="7"/>
    <d v="1985-06-09T00:00:00"/>
    <n v="690349"/>
    <x v="0"/>
  </r>
  <r>
    <x v="302"/>
    <n v="76476"/>
    <x v="14"/>
    <n v="768"/>
    <n v="2"/>
    <n v="10"/>
    <d v="1984-08-04T00:00:00"/>
    <n v="935092"/>
    <x v="2"/>
  </r>
  <r>
    <x v="231"/>
    <n v="60417"/>
    <x v="3"/>
    <n v="701"/>
    <n v="1"/>
    <n v="1"/>
    <d v="1994-09-01T00:00:00"/>
    <n v="966916"/>
    <x v="1"/>
  </r>
  <r>
    <x v="318"/>
    <n v="49213"/>
    <x v="23"/>
    <n v="799"/>
    <n v="1"/>
    <n v="6"/>
    <d v="1990-05-09T00:00:00"/>
    <n v="501499"/>
    <x v="0"/>
  </r>
  <r>
    <x v="254"/>
    <n v="62181"/>
    <x v="16"/>
    <n v="787"/>
    <n v="1"/>
    <n v="5"/>
    <d v="1989-05-03T00:00:00"/>
    <n v="518247"/>
    <x v="2"/>
  </r>
  <r>
    <x v="19"/>
    <n v="34654"/>
    <x v="8"/>
    <n v="720"/>
    <n v="2"/>
    <n v="1"/>
    <d v="1981-12-30T00:00:00"/>
    <n v="865045"/>
    <x v="1"/>
  </r>
  <r>
    <x v="319"/>
    <n v="46681"/>
    <x v="6"/>
    <n v="789"/>
    <n v="1"/>
    <n v="3"/>
    <d v="1993-11-30T00:00:00"/>
    <n v="731147"/>
    <x v="1"/>
  </r>
  <r>
    <x v="272"/>
    <n v="60004"/>
    <x v="6"/>
    <n v="705"/>
    <n v="3"/>
    <n v="7"/>
    <d v="1986-06-07T00:00:00"/>
    <n v="791950"/>
    <x v="1"/>
  </r>
  <r>
    <x v="305"/>
    <n v="67704"/>
    <x v="10"/>
    <n v="783"/>
    <n v="5"/>
    <n v="2"/>
    <d v="1988-06-17T00:00:00"/>
    <n v="911948"/>
    <x v="0"/>
  </r>
  <r>
    <x v="126"/>
    <n v="39833"/>
    <x v="0"/>
    <n v="730"/>
    <n v="4"/>
    <n v="2"/>
    <d v="1992-06-03T00:00:00"/>
    <n v="932873"/>
    <x v="0"/>
  </r>
  <r>
    <x v="320"/>
    <n v="20617"/>
    <x v="18"/>
    <n v="739"/>
    <n v="3"/>
    <n v="9"/>
    <d v="1994-12-11T00:00:00"/>
    <n v="805851"/>
    <x v="0"/>
  </r>
  <r>
    <x v="267"/>
    <n v="29950"/>
    <x v="21"/>
    <n v="784"/>
    <n v="2"/>
    <n v="3"/>
    <d v="1983-10-29T00:00:00"/>
    <n v="555688"/>
    <x v="2"/>
  </r>
  <r>
    <x v="70"/>
    <n v="84211"/>
    <x v="8"/>
    <n v="781"/>
    <n v="2"/>
    <n v="4"/>
    <d v="1994-02-28T00:00:00"/>
    <n v="576772"/>
    <x v="0"/>
  </r>
  <r>
    <x v="154"/>
    <n v="84049"/>
    <x v="17"/>
    <n v="800"/>
    <n v="3"/>
    <n v="9"/>
    <d v="1982-02-23T00:00:00"/>
    <n v="593323"/>
    <x v="1"/>
  </r>
  <r>
    <x v="224"/>
    <n v="68344"/>
    <x v="4"/>
    <n v="756"/>
    <n v="3"/>
    <n v="3"/>
    <d v="1993-07-07T00:00:00"/>
    <n v="628220"/>
    <x v="2"/>
  </r>
  <r>
    <x v="303"/>
    <n v="43744"/>
    <x v="13"/>
    <n v="747"/>
    <n v="2"/>
    <n v="1"/>
    <d v="1990-01-16T00:00:00"/>
    <n v="693621"/>
    <x v="2"/>
  </r>
  <r>
    <x v="72"/>
    <n v="16002"/>
    <x v="7"/>
    <n v="783"/>
    <n v="2"/>
    <n v="8"/>
    <d v="1992-05-12T00:00:00"/>
    <n v="868112"/>
    <x v="1"/>
  </r>
  <r>
    <x v="28"/>
    <n v="53353"/>
    <x v="6"/>
    <n v="715"/>
    <n v="1"/>
    <n v="10"/>
    <d v="1994-09-11T00:00:00"/>
    <n v="883957"/>
    <x v="0"/>
  </r>
  <r>
    <x v="239"/>
    <n v="80050"/>
    <x v="18"/>
    <n v="726"/>
    <n v="1"/>
    <n v="9"/>
    <d v="1982-07-25T00:00:00"/>
    <n v="645331"/>
    <x v="0"/>
  </r>
  <r>
    <x v="232"/>
    <n v="20792"/>
    <x v="0"/>
    <n v="779"/>
    <n v="2"/>
    <n v="4"/>
    <d v="1986-01-09T00:00:00"/>
    <n v="693474"/>
    <x v="2"/>
  </r>
  <r>
    <x v="286"/>
    <n v="95386"/>
    <x v="10"/>
    <n v="732"/>
    <n v="5"/>
    <n v="5"/>
    <d v="1980-04-26T00:00:00"/>
    <n v="910949"/>
    <x v="0"/>
  </r>
  <r>
    <x v="76"/>
    <n v="61042"/>
    <x v="8"/>
    <n v="788"/>
    <n v="4"/>
    <n v="8"/>
    <d v="1984-01-10T00:00:00"/>
    <n v="742181"/>
    <x v="2"/>
  </r>
  <r>
    <x v="74"/>
    <n v="49163"/>
    <x v="4"/>
    <n v="735"/>
    <n v="1"/>
    <n v="2"/>
    <d v="1987-06-10T00:00:00"/>
    <n v="530738"/>
    <x v="1"/>
  </r>
  <r>
    <x v="321"/>
    <n v="89479"/>
    <x v="5"/>
    <n v="770"/>
    <n v="5"/>
    <n v="4"/>
    <d v="1983-07-23T00:00:00"/>
    <n v="966350"/>
    <x v="1"/>
  </r>
  <r>
    <x v="98"/>
    <n v="61277"/>
    <x v="23"/>
    <n v="761"/>
    <n v="4"/>
    <n v="3"/>
    <d v="1985-04-30T00:00:00"/>
    <n v="760297"/>
    <x v="1"/>
  </r>
  <r>
    <x v="133"/>
    <n v="40667"/>
    <x v="19"/>
    <n v="754"/>
    <n v="5"/>
    <n v="10"/>
    <d v="1988-05-02T00:00:00"/>
    <n v="941650"/>
    <x v="2"/>
  </r>
  <r>
    <x v="35"/>
    <n v="86938"/>
    <x v="6"/>
    <n v="743"/>
    <n v="1"/>
    <n v="6"/>
    <d v="1984-12-08T00:00:00"/>
    <n v="645045"/>
    <x v="0"/>
  </r>
  <r>
    <x v="190"/>
    <n v="46268"/>
    <x v="10"/>
    <n v="752"/>
    <n v="2"/>
    <n v="8"/>
    <d v="1992-01-06T00:00:00"/>
    <n v="519971"/>
    <x v="1"/>
  </r>
  <r>
    <x v="322"/>
    <n v="56840"/>
    <x v="14"/>
    <n v="755"/>
    <n v="5"/>
    <n v="2"/>
    <d v="1985-02-27T00:00:00"/>
    <n v="641697"/>
    <x v="1"/>
  </r>
  <r>
    <x v="147"/>
    <n v="27730"/>
    <x v="12"/>
    <n v="755"/>
    <n v="1"/>
    <n v="10"/>
    <d v="1993-11-06T00:00:00"/>
    <n v="856240"/>
    <x v="0"/>
  </r>
  <r>
    <x v="39"/>
    <n v="37808"/>
    <x v="21"/>
    <n v="765"/>
    <n v="1"/>
    <n v="3"/>
    <d v="1991-01-25T00:00:00"/>
    <n v="670204"/>
    <x v="1"/>
  </r>
  <r>
    <x v="323"/>
    <n v="47096"/>
    <x v="9"/>
    <n v="732"/>
    <n v="4"/>
    <n v="9"/>
    <d v="1993-01-02T00:00:00"/>
    <n v="679278"/>
    <x v="1"/>
  </r>
  <r>
    <x v="258"/>
    <n v="33235"/>
    <x v="1"/>
    <n v="800"/>
    <n v="3"/>
    <n v="2"/>
    <d v="1981-10-06T00:00:00"/>
    <n v="889281"/>
    <x v="1"/>
  </r>
  <r>
    <x v="214"/>
    <n v="12400"/>
    <x v="5"/>
    <n v="718"/>
    <n v="3"/>
    <n v="1"/>
    <d v="1989-02-07T00:00:00"/>
    <n v="869677"/>
    <x v="1"/>
  </r>
  <r>
    <x v="55"/>
    <n v="92748"/>
    <x v="12"/>
    <n v="762"/>
    <n v="3"/>
    <n v="5"/>
    <d v="1989-03-29T00:00:00"/>
    <n v="707598"/>
    <x v="0"/>
  </r>
  <r>
    <x v="324"/>
    <n v="40888"/>
    <x v="17"/>
    <n v="789"/>
    <n v="4"/>
    <n v="1"/>
    <d v="1987-06-23T00:00:00"/>
    <n v="519794"/>
    <x v="1"/>
  </r>
  <r>
    <x v="94"/>
    <n v="22223"/>
    <x v="2"/>
    <n v="766"/>
    <n v="2"/>
    <n v="10"/>
    <d v="1982-07-10T00:00:00"/>
    <n v="801696"/>
    <x v="0"/>
  </r>
  <r>
    <x v="30"/>
    <n v="30644"/>
    <x v="10"/>
    <n v="756"/>
    <n v="1"/>
    <n v="6"/>
    <d v="1994-02-08T00:00:00"/>
    <n v="768649"/>
    <x v="2"/>
  </r>
  <r>
    <x v="324"/>
    <n v="15917"/>
    <x v="10"/>
    <n v="792"/>
    <n v="1"/>
    <n v="4"/>
    <d v="1985-11-17T00:00:00"/>
    <n v="560791"/>
    <x v="2"/>
  </r>
  <r>
    <x v="179"/>
    <n v="74081"/>
    <x v="18"/>
    <n v="782"/>
    <n v="2"/>
    <n v="8"/>
    <d v="1981-07-02T00:00:00"/>
    <n v="958927"/>
    <x v="2"/>
  </r>
  <r>
    <x v="59"/>
    <n v="38406"/>
    <x v="12"/>
    <n v="798"/>
    <n v="2"/>
    <n v="8"/>
    <d v="1983-09-28T00:00:00"/>
    <n v="746078"/>
    <x v="0"/>
  </r>
  <r>
    <x v="144"/>
    <n v="48986"/>
    <x v="19"/>
    <n v="723"/>
    <n v="1"/>
    <n v="3"/>
    <d v="1990-08-27T00:00:00"/>
    <n v="865697"/>
    <x v="0"/>
  </r>
  <r>
    <x v="316"/>
    <n v="42393"/>
    <x v="13"/>
    <n v="718"/>
    <n v="5"/>
    <n v="4"/>
    <d v="1986-04-19T00:00:00"/>
    <n v="856724"/>
    <x v="2"/>
  </r>
  <r>
    <x v="9"/>
    <n v="99825"/>
    <x v="16"/>
    <n v="722"/>
    <n v="2"/>
    <n v="6"/>
    <d v="1984-11-04T00:00:00"/>
    <n v="862656"/>
    <x v="0"/>
  </r>
  <r>
    <x v="248"/>
    <n v="80413"/>
    <x v="6"/>
    <n v="716"/>
    <n v="1"/>
    <n v="3"/>
    <d v="1992-04-25T00:00:00"/>
    <n v="610603"/>
    <x v="0"/>
  </r>
  <r>
    <x v="220"/>
    <n v="98909"/>
    <x v="5"/>
    <n v="706"/>
    <n v="4"/>
    <n v="10"/>
    <d v="1990-08-07T00:00:00"/>
    <n v="622627"/>
    <x v="2"/>
  </r>
  <r>
    <x v="10"/>
    <n v="17934"/>
    <x v="22"/>
    <n v="752"/>
    <n v="2"/>
    <n v="5"/>
    <d v="1991-09-25T00:00:00"/>
    <n v="621307"/>
    <x v="0"/>
  </r>
  <r>
    <x v="216"/>
    <n v="53632"/>
    <x v="12"/>
    <n v="729"/>
    <n v="2"/>
    <n v="1"/>
    <d v="1985-06-21T00:00:00"/>
    <n v="546261"/>
    <x v="0"/>
  </r>
  <r>
    <x v="70"/>
    <n v="14147"/>
    <x v="11"/>
    <n v="774"/>
    <n v="3"/>
    <n v="5"/>
    <d v="1986-06-27T00:00:00"/>
    <n v="765398"/>
    <x v="0"/>
  </r>
  <r>
    <x v="325"/>
    <n v="14886"/>
    <x v="0"/>
    <n v="740"/>
    <n v="4"/>
    <n v="8"/>
    <d v="1981-04-01T00:00:00"/>
    <n v="675410"/>
    <x v="1"/>
  </r>
  <r>
    <x v="106"/>
    <n v="17693"/>
    <x v="2"/>
    <n v="737"/>
    <n v="4"/>
    <n v="9"/>
    <d v="1986-11-14T00:00:00"/>
    <n v="934943"/>
    <x v="1"/>
  </r>
  <r>
    <x v="103"/>
    <n v="63705"/>
    <x v="23"/>
    <n v="769"/>
    <n v="2"/>
    <n v="9"/>
    <d v="1985-06-02T00:00:00"/>
    <n v="753887"/>
    <x v="0"/>
  </r>
  <r>
    <x v="223"/>
    <n v="79227"/>
    <x v="1"/>
    <n v="716"/>
    <n v="4"/>
    <n v="1"/>
    <d v="1981-07-01T00:00:00"/>
    <n v="815919"/>
    <x v="0"/>
  </r>
  <r>
    <x v="0"/>
    <n v="50994"/>
    <x v="1"/>
    <n v="778"/>
    <n v="5"/>
    <n v="4"/>
    <d v="1993-06-25T00:00:00"/>
    <n v="683977"/>
    <x v="2"/>
  </r>
  <r>
    <x v="15"/>
    <n v="28960"/>
    <x v="12"/>
    <n v="758"/>
    <n v="3"/>
    <n v="5"/>
    <d v="1985-09-08T00:00:00"/>
    <n v="503619"/>
    <x v="1"/>
  </r>
  <r>
    <x v="324"/>
    <n v="80217"/>
    <x v="20"/>
    <n v="777"/>
    <n v="2"/>
    <n v="9"/>
    <d v="1982-07-16T00:00:00"/>
    <n v="889056"/>
    <x v="0"/>
  </r>
  <r>
    <x v="207"/>
    <n v="30845"/>
    <x v="16"/>
    <n v="738"/>
    <n v="4"/>
    <n v="4"/>
    <d v="1991-08-17T00:00:00"/>
    <n v="702299"/>
    <x v="0"/>
  </r>
  <r>
    <x v="180"/>
    <n v="56704"/>
    <x v="5"/>
    <n v="772"/>
    <n v="3"/>
    <n v="2"/>
    <d v="1994-11-08T00:00:00"/>
    <n v="582495"/>
    <x v="2"/>
  </r>
  <r>
    <x v="126"/>
    <n v="86488"/>
    <x v="0"/>
    <n v="764"/>
    <n v="2"/>
    <n v="6"/>
    <d v="1988-04-27T00:00:00"/>
    <n v="658127"/>
    <x v="1"/>
  </r>
  <r>
    <x v="196"/>
    <n v="79462"/>
    <x v="19"/>
    <n v="739"/>
    <n v="2"/>
    <n v="5"/>
    <d v="1982-05-21T00:00:00"/>
    <n v="955880"/>
    <x v="1"/>
  </r>
  <r>
    <x v="1"/>
    <n v="64677"/>
    <x v="2"/>
    <n v="703"/>
    <n v="2"/>
    <n v="7"/>
    <d v="1994-09-22T00:00:00"/>
    <n v="913943"/>
    <x v="2"/>
  </r>
  <r>
    <x v="70"/>
    <n v="53751"/>
    <x v="4"/>
    <n v="704"/>
    <n v="3"/>
    <n v="1"/>
    <d v="1982-05-29T00:00:00"/>
    <n v="992032"/>
    <x v="2"/>
  </r>
  <r>
    <x v="312"/>
    <n v="27788"/>
    <x v="1"/>
    <n v="758"/>
    <n v="2"/>
    <n v="6"/>
    <d v="1986-01-13T00:00:00"/>
    <n v="780827"/>
    <x v="2"/>
  </r>
  <r>
    <x v="286"/>
    <n v="70713"/>
    <x v="6"/>
    <n v="729"/>
    <n v="5"/>
    <n v="6"/>
    <d v="1992-03-17T00:00:00"/>
    <n v="763949"/>
    <x v="0"/>
  </r>
  <r>
    <x v="277"/>
    <n v="33264"/>
    <x v="0"/>
    <n v="761"/>
    <n v="1"/>
    <n v="8"/>
    <d v="1985-05-08T00:00:00"/>
    <n v="874282"/>
    <x v="1"/>
  </r>
  <r>
    <x v="224"/>
    <n v="88783"/>
    <x v="13"/>
    <n v="708"/>
    <n v="2"/>
    <n v="8"/>
    <d v="1983-02-04T00:00:00"/>
    <n v="829846"/>
    <x v="1"/>
  </r>
  <r>
    <x v="295"/>
    <n v="10804"/>
    <x v="13"/>
    <n v="771"/>
    <n v="2"/>
    <n v="4"/>
    <d v="1991-08-11T00:00:00"/>
    <n v="721772"/>
    <x v="0"/>
  </r>
  <r>
    <x v="138"/>
    <n v="40150"/>
    <x v="21"/>
    <n v="799"/>
    <n v="5"/>
    <n v="4"/>
    <d v="1989-02-14T00:00:00"/>
    <n v="867129"/>
    <x v="2"/>
  </r>
  <r>
    <x v="218"/>
    <n v="11377"/>
    <x v="22"/>
    <n v="729"/>
    <n v="1"/>
    <n v="10"/>
    <d v="1980-07-19T00:00:00"/>
    <n v="761341"/>
    <x v="1"/>
  </r>
  <r>
    <x v="249"/>
    <n v="37782"/>
    <x v="5"/>
    <n v="732"/>
    <n v="3"/>
    <n v="1"/>
    <d v="1980-06-11T00:00:00"/>
    <n v="769686"/>
    <x v="1"/>
  </r>
  <r>
    <x v="149"/>
    <n v="66876"/>
    <x v="20"/>
    <n v="708"/>
    <n v="2"/>
    <n v="8"/>
    <d v="1982-09-07T00:00:00"/>
    <n v="947120"/>
    <x v="1"/>
  </r>
  <r>
    <x v="42"/>
    <n v="35347"/>
    <x v="12"/>
    <n v="707"/>
    <n v="1"/>
    <n v="7"/>
    <d v="1980-02-25T00:00:00"/>
    <n v="748484"/>
    <x v="2"/>
  </r>
  <r>
    <x v="183"/>
    <n v="71659"/>
    <x v="9"/>
    <n v="770"/>
    <n v="1"/>
    <n v="6"/>
    <d v="1981-08-23T00:00:00"/>
    <n v="550140"/>
    <x v="2"/>
  </r>
  <r>
    <x v="91"/>
    <n v="77381"/>
    <x v="14"/>
    <n v="704"/>
    <n v="1"/>
    <n v="4"/>
    <d v="1989-04-28T00:00:00"/>
    <n v="541629"/>
    <x v="2"/>
  </r>
  <r>
    <x v="284"/>
    <n v="22762"/>
    <x v="3"/>
    <n v="748"/>
    <n v="4"/>
    <n v="10"/>
    <d v="1994-10-01T00:00:00"/>
    <n v="918180"/>
    <x v="1"/>
  </r>
  <r>
    <x v="326"/>
    <n v="91326"/>
    <x v="15"/>
    <n v="726"/>
    <n v="3"/>
    <n v="8"/>
    <d v="1986-11-15T00:00:00"/>
    <n v="573154"/>
    <x v="0"/>
  </r>
  <r>
    <x v="14"/>
    <n v="21644"/>
    <x v="12"/>
    <n v="791"/>
    <n v="3"/>
    <n v="4"/>
    <d v="1988-06-02T00:00:00"/>
    <n v="677195"/>
    <x v="1"/>
  </r>
  <r>
    <x v="245"/>
    <n v="58510"/>
    <x v="7"/>
    <n v="764"/>
    <n v="5"/>
    <n v="3"/>
    <d v="1988-10-19T00:00:00"/>
    <n v="526636"/>
    <x v="0"/>
  </r>
  <r>
    <x v="48"/>
    <n v="15330"/>
    <x v="5"/>
    <n v="715"/>
    <n v="1"/>
    <n v="10"/>
    <d v="1985-01-09T00:00:00"/>
    <n v="685537"/>
    <x v="1"/>
  </r>
  <r>
    <x v="55"/>
    <n v="96815"/>
    <x v="10"/>
    <n v="722"/>
    <n v="5"/>
    <n v="1"/>
    <d v="1988-03-17T00:00:00"/>
    <n v="909554"/>
    <x v="2"/>
  </r>
  <r>
    <x v="25"/>
    <n v="54329"/>
    <x v="9"/>
    <n v="728"/>
    <n v="4"/>
    <n v="6"/>
    <d v="1993-05-11T00:00:00"/>
    <n v="949802"/>
    <x v="0"/>
  </r>
  <r>
    <x v="164"/>
    <n v="89827"/>
    <x v="7"/>
    <n v="743"/>
    <n v="4"/>
    <n v="2"/>
    <d v="1980-07-16T00:00:00"/>
    <n v="729346"/>
    <x v="1"/>
  </r>
  <r>
    <x v="73"/>
    <n v="81215"/>
    <x v="23"/>
    <n v="700"/>
    <n v="2"/>
    <n v="5"/>
    <d v="1993-07-22T00:00:00"/>
    <n v="665224"/>
    <x v="2"/>
  </r>
  <r>
    <x v="263"/>
    <n v="63995"/>
    <x v="12"/>
    <n v="728"/>
    <n v="1"/>
    <n v="2"/>
    <d v="1990-10-07T00:00:00"/>
    <n v="816454"/>
    <x v="1"/>
  </r>
  <r>
    <x v="22"/>
    <n v="80718"/>
    <x v="21"/>
    <n v="792"/>
    <n v="1"/>
    <n v="8"/>
    <d v="1990-06-09T00:00:00"/>
    <n v="902138"/>
    <x v="1"/>
  </r>
  <r>
    <x v="327"/>
    <n v="61503"/>
    <x v="1"/>
    <n v="780"/>
    <n v="5"/>
    <n v="1"/>
    <d v="1986-04-23T00:00:00"/>
    <n v="573943"/>
    <x v="1"/>
  </r>
  <r>
    <x v="95"/>
    <n v="42387"/>
    <x v="21"/>
    <n v="765"/>
    <n v="5"/>
    <n v="10"/>
    <d v="1986-12-26T00:00:00"/>
    <n v="701014"/>
    <x v="0"/>
  </r>
  <r>
    <x v="263"/>
    <n v="79422"/>
    <x v="4"/>
    <n v="791"/>
    <n v="5"/>
    <n v="2"/>
    <d v="1988-10-23T00:00:00"/>
    <n v="612963"/>
    <x v="1"/>
  </r>
  <r>
    <x v="214"/>
    <n v="91123"/>
    <x v="18"/>
    <n v="782"/>
    <n v="4"/>
    <n v="3"/>
    <d v="1982-01-10T00:00:00"/>
    <n v="613798"/>
    <x v="1"/>
  </r>
  <r>
    <x v="250"/>
    <n v="87501"/>
    <x v="21"/>
    <n v="713"/>
    <n v="1"/>
    <n v="3"/>
    <d v="1990-02-22T00:00:00"/>
    <n v="534795"/>
    <x v="0"/>
  </r>
  <r>
    <x v="219"/>
    <n v="36206"/>
    <x v="6"/>
    <n v="759"/>
    <n v="4"/>
    <n v="3"/>
    <d v="1989-05-17T00:00:00"/>
    <n v="843646"/>
    <x v="0"/>
  </r>
  <r>
    <x v="75"/>
    <n v="64255"/>
    <x v="20"/>
    <n v="775"/>
    <n v="1"/>
    <n v="5"/>
    <d v="1990-05-04T00:00:00"/>
    <n v="987219"/>
    <x v="0"/>
  </r>
  <r>
    <x v="223"/>
    <n v="63913"/>
    <x v="15"/>
    <n v="711"/>
    <n v="3"/>
    <n v="3"/>
    <d v="1982-12-29T00:00:00"/>
    <n v="909770"/>
    <x v="1"/>
  </r>
  <r>
    <x v="309"/>
    <n v="42291"/>
    <x v="22"/>
    <n v="714"/>
    <n v="3"/>
    <n v="10"/>
    <d v="1980-03-17T00:00:00"/>
    <n v="876707"/>
    <x v="0"/>
  </r>
  <r>
    <x v="48"/>
    <n v="94337"/>
    <x v="17"/>
    <n v="760"/>
    <n v="5"/>
    <n v="1"/>
    <d v="1988-05-30T00:00:00"/>
    <n v="697741"/>
    <x v="1"/>
  </r>
  <r>
    <x v="315"/>
    <n v="58536"/>
    <x v="21"/>
    <n v="778"/>
    <n v="5"/>
    <n v="4"/>
    <d v="1994-05-25T00:00:00"/>
    <n v="718981"/>
    <x v="0"/>
  </r>
  <r>
    <x v="271"/>
    <n v="80060"/>
    <x v="20"/>
    <n v="714"/>
    <n v="4"/>
    <n v="10"/>
    <d v="1980-04-24T00:00:00"/>
    <n v="624104"/>
    <x v="1"/>
  </r>
  <r>
    <x v="140"/>
    <n v="49766"/>
    <x v="1"/>
    <n v="797"/>
    <n v="3"/>
    <n v="9"/>
    <d v="1988-09-08T00:00:00"/>
    <n v="875743"/>
    <x v="2"/>
  </r>
  <r>
    <x v="86"/>
    <n v="10463"/>
    <x v="12"/>
    <n v="754"/>
    <n v="5"/>
    <n v="10"/>
    <d v="1980-07-30T00:00:00"/>
    <n v="681450"/>
    <x v="0"/>
  </r>
  <r>
    <x v="275"/>
    <n v="32408"/>
    <x v="17"/>
    <n v="723"/>
    <n v="2"/>
    <n v="4"/>
    <d v="1992-02-22T00:00:00"/>
    <n v="708158"/>
    <x v="2"/>
  </r>
  <r>
    <x v="235"/>
    <n v="60891"/>
    <x v="5"/>
    <n v="720"/>
    <n v="3"/>
    <n v="6"/>
    <d v="1981-02-10T00:00:00"/>
    <n v="661419"/>
    <x v="2"/>
  </r>
  <r>
    <x v="69"/>
    <n v="84687"/>
    <x v="7"/>
    <n v="764"/>
    <n v="3"/>
    <n v="7"/>
    <d v="1984-04-07T00:00:00"/>
    <n v="828750"/>
    <x v="1"/>
  </r>
  <r>
    <x v="239"/>
    <n v="80726"/>
    <x v="1"/>
    <n v="704"/>
    <n v="5"/>
    <n v="2"/>
    <d v="1986-03-22T00:00:00"/>
    <n v="756646"/>
    <x v="1"/>
  </r>
  <r>
    <x v="29"/>
    <n v="32817"/>
    <x v="23"/>
    <n v="794"/>
    <n v="1"/>
    <n v="8"/>
    <d v="1990-03-01T00:00:00"/>
    <n v="852706"/>
    <x v="1"/>
  </r>
  <r>
    <x v="35"/>
    <n v="12243"/>
    <x v="17"/>
    <n v="774"/>
    <n v="3"/>
    <n v="6"/>
    <d v="1993-07-03T00:00:00"/>
    <n v="624082"/>
    <x v="0"/>
  </r>
  <r>
    <x v="169"/>
    <n v="25020"/>
    <x v="1"/>
    <n v="705"/>
    <n v="1"/>
    <n v="8"/>
    <d v="1984-12-05T00:00:00"/>
    <n v="612503"/>
    <x v="0"/>
  </r>
  <r>
    <x v="150"/>
    <n v="96631"/>
    <x v="0"/>
    <n v="716"/>
    <n v="3"/>
    <n v="4"/>
    <d v="1981-12-12T00:00:00"/>
    <n v="951262"/>
    <x v="1"/>
  </r>
  <r>
    <x v="25"/>
    <n v="90785"/>
    <x v="21"/>
    <n v="765"/>
    <n v="4"/>
    <n v="7"/>
    <d v="1988-02-01T00:00:00"/>
    <n v="807954"/>
    <x v="0"/>
  </r>
  <r>
    <x v="26"/>
    <n v="50257"/>
    <x v="21"/>
    <n v="741"/>
    <n v="3"/>
    <n v="3"/>
    <d v="1994-01-28T00:00:00"/>
    <n v="892679"/>
    <x v="0"/>
  </r>
  <r>
    <x v="105"/>
    <n v="79559"/>
    <x v="10"/>
    <n v="780"/>
    <n v="4"/>
    <n v="10"/>
    <d v="1980-02-27T00:00:00"/>
    <n v="717221"/>
    <x v="2"/>
  </r>
  <r>
    <x v="242"/>
    <n v="19368"/>
    <x v="18"/>
    <n v="700"/>
    <n v="5"/>
    <n v="10"/>
    <d v="1987-06-21T00:00:00"/>
    <n v="789854"/>
    <x v="0"/>
  </r>
  <r>
    <x v="95"/>
    <n v="61780"/>
    <x v="0"/>
    <n v="702"/>
    <n v="2"/>
    <n v="7"/>
    <d v="1987-10-25T00:00:00"/>
    <n v="696125"/>
    <x v="1"/>
  </r>
  <r>
    <x v="172"/>
    <n v="13669"/>
    <x v="14"/>
    <n v="757"/>
    <n v="2"/>
    <n v="6"/>
    <d v="1983-07-30T00:00:00"/>
    <n v="541389"/>
    <x v="1"/>
  </r>
  <r>
    <x v="233"/>
    <n v="76498"/>
    <x v="4"/>
    <n v="713"/>
    <n v="2"/>
    <n v="8"/>
    <d v="1984-04-07T00:00:00"/>
    <n v="617205"/>
    <x v="1"/>
  </r>
  <r>
    <x v="135"/>
    <n v="17859"/>
    <x v="21"/>
    <n v="770"/>
    <n v="2"/>
    <n v="4"/>
    <d v="1992-03-01T00:00:00"/>
    <n v="530186"/>
    <x v="1"/>
  </r>
  <r>
    <x v="249"/>
    <n v="17004"/>
    <x v="19"/>
    <n v="792"/>
    <n v="1"/>
    <n v="5"/>
    <d v="1991-02-25T00:00:00"/>
    <n v="673875"/>
    <x v="1"/>
  </r>
  <r>
    <x v="108"/>
    <n v="61867"/>
    <x v="3"/>
    <n v="705"/>
    <n v="2"/>
    <n v="10"/>
    <d v="1989-10-28T00:00:00"/>
    <n v="915797"/>
    <x v="1"/>
  </r>
  <r>
    <x v="275"/>
    <n v="38163"/>
    <x v="13"/>
    <n v="789"/>
    <n v="4"/>
    <n v="2"/>
    <d v="1980-05-10T00:00:00"/>
    <n v="620332"/>
    <x v="2"/>
  </r>
  <r>
    <x v="328"/>
    <n v="79897"/>
    <x v="7"/>
    <n v="780"/>
    <n v="4"/>
    <n v="4"/>
    <d v="1987-07-20T00:00:00"/>
    <n v="838547"/>
    <x v="0"/>
  </r>
  <r>
    <x v="161"/>
    <n v="16104"/>
    <x v="14"/>
    <n v="771"/>
    <n v="2"/>
    <n v="8"/>
    <d v="1993-06-06T00:00:00"/>
    <n v="733075"/>
    <x v="0"/>
  </r>
  <r>
    <x v="251"/>
    <n v="53546"/>
    <x v="1"/>
    <n v="766"/>
    <n v="1"/>
    <n v="2"/>
    <d v="1991-12-03T00:00:00"/>
    <n v="535279"/>
    <x v="0"/>
  </r>
  <r>
    <x v="173"/>
    <n v="85809"/>
    <x v="6"/>
    <n v="787"/>
    <n v="5"/>
    <n v="7"/>
    <d v="1986-08-10T00:00:00"/>
    <n v="762307"/>
    <x v="1"/>
  </r>
  <r>
    <x v="51"/>
    <n v="46575"/>
    <x v="9"/>
    <n v="727"/>
    <n v="2"/>
    <n v="9"/>
    <d v="1981-05-04T00:00:00"/>
    <n v="962245"/>
    <x v="2"/>
  </r>
  <r>
    <x v="119"/>
    <n v="33717"/>
    <x v="7"/>
    <n v="745"/>
    <n v="2"/>
    <n v="1"/>
    <d v="1988-11-23T00:00:00"/>
    <n v="646858"/>
    <x v="2"/>
  </r>
  <r>
    <x v="244"/>
    <n v="57492"/>
    <x v="8"/>
    <n v="778"/>
    <n v="5"/>
    <n v="6"/>
    <d v="1992-05-30T00:00:00"/>
    <n v="732657"/>
    <x v="0"/>
  </r>
  <r>
    <x v="194"/>
    <n v="36629"/>
    <x v="15"/>
    <n v="754"/>
    <n v="3"/>
    <n v="1"/>
    <d v="1987-10-18T00:00:00"/>
    <n v="768223"/>
    <x v="0"/>
  </r>
  <r>
    <x v="3"/>
    <n v="73789"/>
    <x v="6"/>
    <n v="799"/>
    <n v="2"/>
    <n v="2"/>
    <d v="1984-01-11T00:00:00"/>
    <n v="918795"/>
    <x v="2"/>
  </r>
  <r>
    <x v="294"/>
    <n v="19295"/>
    <x v="15"/>
    <n v="740"/>
    <n v="5"/>
    <n v="5"/>
    <d v="1988-02-13T00:00:00"/>
    <n v="985779"/>
    <x v="1"/>
  </r>
  <r>
    <x v="81"/>
    <n v="49386"/>
    <x v="17"/>
    <n v="757"/>
    <n v="1"/>
    <n v="1"/>
    <d v="1980-08-24T00:00:00"/>
    <n v="776038"/>
    <x v="2"/>
  </r>
  <r>
    <x v="102"/>
    <n v="61144"/>
    <x v="7"/>
    <n v="752"/>
    <n v="5"/>
    <n v="3"/>
    <d v="1984-03-15T00:00:00"/>
    <n v="940912"/>
    <x v="1"/>
  </r>
  <r>
    <x v="40"/>
    <n v="19566"/>
    <x v="10"/>
    <n v="766"/>
    <n v="3"/>
    <n v="9"/>
    <d v="1992-08-14T00:00:00"/>
    <n v="618476"/>
    <x v="0"/>
  </r>
  <r>
    <x v="274"/>
    <n v="11445"/>
    <x v="23"/>
    <n v="712"/>
    <n v="2"/>
    <n v="1"/>
    <d v="1980-03-08T00:00:00"/>
    <n v="687683"/>
    <x v="2"/>
  </r>
  <r>
    <x v="283"/>
    <n v="20026"/>
    <x v="20"/>
    <n v="755"/>
    <n v="2"/>
    <n v="1"/>
    <d v="1986-06-20T00:00:00"/>
    <n v="609843"/>
    <x v="2"/>
  </r>
  <r>
    <x v="15"/>
    <n v="35201"/>
    <x v="23"/>
    <n v="799"/>
    <n v="5"/>
    <n v="4"/>
    <d v="1990-08-24T00:00:00"/>
    <n v="837532"/>
    <x v="0"/>
  </r>
  <r>
    <x v="79"/>
    <n v="43002"/>
    <x v="18"/>
    <n v="733"/>
    <n v="2"/>
    <n v="8"/>
    <d v="1980-08-07T00:00:00"/>
    <n v="546755"/>
    <x v="2"/>
  </r>
  <r>
    <x v="110"/>
    <n v="49971"/>
    <x v="10"/>
    <n v="760"/>
    <n v="5"/>
    <n v="2"/>
    <d v="1983-07-23T00:00:00"/>
    <n v="899368"/>
    <x v="2"/>
  </r>
  <r>
    <x v="166"/>
    <n v="36343"/>
    <x v="8"/>
    <n v="730"/>
    <n v="3"/>
    <n v="10"/>
    <d v="1986-01-29T00:00:00"/>
    <n v="824547"/>
    <x v="0"/>
  </r>
  <r>
    <x v="198"/>
    <n v="95876"/>
    <x v="13"/>
    <n v="731"/>
    <n v="4"/>
    <n v="10"/>
    <d v="1983-12-12T00:00:00"/>
    <n v="850116"/>
    <x v="2"/>
  </r>
  <r>
    <x v="105"/>
    <n v="73856"/>
    <x v="12"/>
    <n v="745"/>
    <n v="3"/>
    <n v="1"/>
    <d v="1982-08-15T00:00:00"/>
    <n v="582643"/>
    <x v="1"/>
  </r>
  <r>
    <x v="81"/>
    <n v="71244"/>
    <x v="5"/>
    <n v="700"/>
    <n v="3"/>
    <n v="2"/>
    <d v="1986-09-30T00:00:00"/>
    <n v="516827"/>
    <x v="1"/>
  </r>
  <r>
    <x v="198"/>
    <n v="52836"/>
    <x v="4"/>
    <n v="738"/>
    <n v="1"/>
    <n v="10"/>
    <d v="1986-08-24T00:00:00"/>
    <n v="957585"/>
    <x v="0"/>
  </r>
  <r>
    <x v="319"/>
    <n v="59488"/>
    <x v="12"/>
    <n v="748"/>
    <n v="5"/>
    <n v="7"/>
    <d v="1982-03-25T00:00:00"/>
    <n v="611961"/>
    <x v="2"/>
  </r>
  <r>
    <x v="100"/>
    <n v="45960"/>
    <x v="3"/>
    <n v="725"/>
    <n v="2"/>
    <n v="4"/>
    <d v="1983-02-01T00:00:00"/>
    <n v="793273"/>
    <x v="0"/>
  </r>
  <r>
    <x v="30"/>
    <n v="33980"/>
    <x v="16"/>
    <n v="743"/>
    <n v="1"/>
    <n v="4"/>
    <d v="1988-10-10T00:00:00"/>
    <n v="631678"/>
    <x v="2"/>
  </r>
  <r>
    <x v="107"/>
    <n v="75088"/>
    <x v="4"/>
    <n v="730"/>
    <n v="3"/>
    <n v="4"/>
    <d v="1992-12-06T00:00:00"/>
    <n v="537568"/>
    <x v="1"/>
  </r>
  <r>
    <x v="278"/>
    <n v="39103"/>
    <x v="16"/>
    <n v="711"/>
    <n v="5"/>
    <n v="3"/>
    <d v="1984-08-31T00:00:00"/>
    <n v="777747"/>
    <x v="2"/>
  </r>
  <r>
    <x v="135"/>
    <n v="87455"/>
    <x v="9"/>
    <n v="703"/>
    <n v="2"/>
    <n v="10"/>
    <d v="1994-11-11T00:00:00"/>
    <n v="906813"/>
    <x v="0"/>
  </r>
  <r>
    <x v="83"/>
    <n v="96599"/>
    <x v="20"/>
    <n v="702"/>
    <n v="5"/>
    <n v="5"/>
    <d v="1990-09-03T00:00:00"/>
    <n v="983428"/>
    <x v="2"/>
  </r>
  <r>
    <x v="328"/>
    <n v="44345"/>
    <x v="5"/>
    <n v="797"/>
    <n v="3"/>
    <n v="2"/>
    <d v="1982-04-09T00:00:00"/>
    <n v="575822"/>
    <x v="2"/>
  </r>
  <r>
    <x v="164"/>
    <n v="78197"/>
    <x v="17"/>
    <n v="713"/>
    <n v="2"/>
    <n v="2"/>
    <d v="1988-12-27T00:00:00"/>
    <n v="662184"/>
    <x v="2"/>
  </r>
  <r>
    <x v="202"/>
    <n v="29117"/>
    <x v="1"/>
    <n v="727"/>
    <n v="5"/>
    <n v="3"/>
    <d v="1992-05-16T00:00:00"/>
    <n v="540688"/>
    <x v="1"/>
  </r>
  <r>
    <x v="54"/>
    <n v="91489"/>
    <x v="16"/>
    <n v="790"/>
    <n v="3"/>
    <n v="3"/>
    <d v="1989-04-06T00:00:00"/>
    <n v="676377"/>
    <x v="0"/>
  </r>
  <r>
    <x v="25"/>
    <n v="25479"/>
    <x v="22"/>
    <n v="750"/>
    <n v="5"/>
    <n v="2"/>
    <d v="1994-09-01T00:00:00"/>
    <n v="682869"/>
    <x v="0"/>
  </r>
  <r>
    <x v="288"/>
    <n v="98022"/>
    <x v="8"/>
    <n v="794"/>
    <n v="3"/>
    <n v="3"/>
    <d v="1991-04-27T00:00:00"/>
    <n v="989564"/>
    <x v="1"/>
  </r>
  <r>
    <x v="109"/>
    <n v="43666"/>
    <x v="2"/>
    <n v="798"/>
    <n v="5"/>
    <n v="3"/>
    <d v="1981-02-07T00:00:00"/>
    <n v="539585"/>
    <x v="1"/>
  </r>
  <r>
    <x v="124"/>
    <n v="89531"/>
    <x v="13"/>
    <n v="736"/>
    <n v="3"/>
    <n v="9"/>
    <d v="1992-08-16T00:00:00"/>
    <n v="745259"/>
    <x v="0"/>
  </r>
  <r>
    <x v="4"/>
    <n v="73361"/>
    <x v="2"/>
    <n v="750"/>
    <n v="1"/>
    <n v="2"/>
    <d v="1994-08-13T00:00:00"/>
    <n v="546600"/>
    <x v="2"/>
  </r>
  <r>
    <x v="63"/>
    <n v="83936"/>
    <x v="3"/>
    <n v="789"/>
    <n v="4"/>
    <n v="6"/>
    <d v="1983-02-26T00:00:00"/>
    <n v="877440"/>
    <x v="1"/>
  </r>
  <r>
    <x v="280"/>
    <n v="87663"/>
    <x v="17"/>
    <n v="784"/>
    <n v="4"/>
    <n v="8"/>
    <d v="1988-04-13T00:00:00"/>
    <n v="784708"/>
    <x v="1"/>
  </r>
  <r>
    <x v="189"/>
    <n v="21478"/>
    <x v="15"/>
    <n v="744"/>
    <n v="2"/>
    <n v="7"/>
    <d v="1980-01-25T00:00:00"/>
    <n v="668408"/>
    <x v="0"/>
  </r>
  <r>
    <x v="110"/>
    <n v="32550"/>
    <x v="11"/>
    <n v="789"/>
    <n v="3"/>
    <n v="3"/>
    <d v="1989-07-19T00:00:00"/>
    <n v="532370"/>
    <x v="1"/>
  </r>
  <r>
    <x v="105"/>
    <n v="62304"/>
    <x v="21"/>
    <n v="709"/>
    <n v="4"/>
    <n v="9"/>
    <d v="1994-08-21T00:00:00"/>
    <n v="982857"/>
    <x v="2"/>
  </r>
  <r>
    <x v="229"/>
    <n v="51482"/>
    <x v="22"/>
    <n v="737"/>
    <n v="2"/>
    <n v="5"/>
    <d v="1987-08-12T00:00:00"/>
    <n v="850423"/>
    <x v="1"/>
  </r>
  <r>
    <x v="151"/>
    <n v="10264"/>
    <x v="5"/>
    <n v="739"/>
    <n v="5"/>
    <n v="10"/>
    <d v="1992-09-19T00:00:00"/>
    <n v="993245"/>
    <x v="1"/>
  </r>
  <r>
    <x v="6"/>
    <n v="89174"/>
    <x v="21"/>
    <n v="730"/>
    <n v="5"/>
    <n v="1"/>
    <d v="1980-11-11T00:00:00"/>
    <n v="502469"/>
    <x v="1"/>
  </r>
  <r>
    <x v="276"/>
    <n v="43193"/>
    <x v="7"/>
    <n v="748"/>
    <n v="3"/>
    <n v="7"/>
    <d v="1984-01-10T00:00:00"/>
    <n v="953477"/>
    <x v="2"/>
  </r>
  <r>
    <x v="240"/>
    <n v="89946"/>
    <x v="13"/>
    <n v="799"/>
    <n v="5"/>
    <n v="7"/>
    <d v="1994-03-13T00:00:00"/>
    <n v="957311"/>
    <x v="2"/>
  </r>
  <r>
    <x v="308"/>
    <n v="74711"/>
    <x v="18"/>
    <n v="707"/>
    <n v="5"/>
    <n v="7"/>
    <d v="1985-12-06T00:00:00"/>
    <n v="896044"/>
    <x v="0"/>
  </r>
  <r>
    <x v="191"/>
    <n v="77498"/>
    <x v="4"/>
    <n v="767"/>
    <n v="1"/>
    <n v="4"/>
    <d v="1983-02-24T00:00:00"/>
    <n v="551373"/>
    <x v="2"/>
  </r>
  <r>
    <x v="14"/>
    <n v="50068"/>
    <x v="18"/>
    <n v="710"/>
    <n v="1"/>
    <n v="2"/>
    <d v="1984-09-22T00:00:00"/>
    <n v="678013"/>
    <x v="0"/>
  </r>
  <r>
    <x v="54"/>
    <n v="25864"/>
    <x v="18"/>
    <n v="748"/>
    <n v="1"/>
    <n v="9"/>
    <d v="1984-08-19T00:00:00"/>
    <n v="576506"/>
    <x v="2"/>
  </r>
  <r>
    <x v="74"/>
    <n v="15523"/>
    <x v="21"/>
    <n v="703"/>
    <n v="5"/>
    <n v="5"/>
    <d v="1989-05-21T00:00:00"/>
    <n v="578683"/>
    <x v="2"/>
  </r>
  <r>
    <x v="22"/>
    <n v="12810"/>
    <x v="2"/>
    <n v="783"/>
    <n v="2"/>
    <n v="8"/>
    <d v="1991-03-25T00:00:00"/>
    <n v="773923"/>
    <x v="1"/>
  </r>
  <r>
    <x v="47"/>
    <n v="28938"/>
    <x v="16"/>
    <n v="714"/>
    <n v="3"/>
    <n v="7"/>
    <d v="1992-06-11T00:00:00"/>
    <n v="567036"/>
    <x v="2"/>
  </r>
  <r>
    <x v="323"/>
    <n v="38868"/>
    <x v="22"/>
    <n v="786"/>
    <n v="5"/>
    <n v="9"/>
    <d v="1991-10-21T00:00:00"/>
    <n v="774453"/>
    <x v="0"/>
  </r>
  <r>
    <x v="284"/>
    <n v="98711"/>
    <x v="18"/>
    <n v="744"/>
    <n v="2"/>
    <n v="9"/>
    <d v="1992-09-19T00:00:00"/>
    <n v="622283"/>
    <x v="0"/>
  </r>
  <r>
    <x v="226"/>
    <n v="79287"/>
    <x v="2"/>
    <n v="760"/>
    <n v="1"/>
    <n v="3"/>
    <d v="1981-03-14T00:00:00"/>
    <n v="611744"/>
    <x v="0"/>
  </r>
  <r>
    <x v="125"/>
    <n v="19045"/>
    <x v="1"/>
    <n v="796"/>
    <n v="2"/>
    <n v="10"/>
    <d v="1984-04-11T00:00:00"/>
    <n v="628943"/>
    <x v="1"/>
  </r>
  <r>
    <x v="92"/>
    <n v="85012"/>
    <x v="13"/>
    <n v="732"/>
    <n v="4"/>
    <n v="7"/>
    <d v="1990-03-05T00:00:00"/>
    <n v="708934"/>
    <x v="2"/>
  </r>
  <r>
    <x v="329"/>
    <n v="26130"/>
    <x v="2"/>
    <n v="750"/>
    <n v="3"/>
    <n v="3"/>
    <d v="1986-07-31T00:00:00"/>
    <n v="702540"/>
    <x v="2"/>
  </r>
  <r>
    <x v="136"/>
    <n v="75676"/>
    <x v="18"/>
    <n v="782"/>
    <n v="5"/>
    <n v="9"/>
    <d v="1992-07-12T00:00:00"/>
    <n v="972215"/>
    <x v="1"/>
  </r>
  <r>
    <x v="80"/>
    <n v="33039"/>
    <x v="3"/>
    <n v="727"/>
    <n v="3"/>
    <n v="1"/>
    <d v="1991-11-18T00:00:00"/>
    <n v="768217"/>
    <x v="2"/>
  </r>
  <r>
    <x v="226"/>
    <n v="25933"/>
    <x v="7"/>
    <n v="795"/>
    <n v="1"/>
    <n v="6"/>
    <d v="1989-03-25T00:00:00"/>
    <n v="551272"/>
    <x v="2"/>
  </r>
  <r>
    <x v="277"/>
    <n v="87206"/>
    <x v="2"/>
    <n v="797"/>
    <n v="2"/>
    <n v="4"/>
    <d v="1989-07-10T00:00:00"/>
    <n v="778299"/>
    <x v="1"/>
  </r>
  <r>
    <x v="252"/>
    <n v="90629"/>
    <x v="1"/>
    <n v="762"/>
    <n v="4"/>
    <n v="8"/>
    <d v="1993-04-18T00:00:00"/>
    <n v="885277"/>
    <x v="0"/>
  </r>
  <r>
    <x v="47"/>
    <n v="21163"/>
    <x v="14"/>
    <n v="731"/>
    <n v="5"/>
    <n v="10"/>
    <d v="1984-04-24T00:00:00"/>
    <n v="678764"/>
    <x v="2"/>
  </r>
  <r>
    <x v="95"/>
    <n v="66933"/>
    <x v="22"/>
    <n v="721"/>
    <n v="4"/>
    <n v="1"/>
    <d v="1987-07-17T00:00:00"/>
    <n v="554995"/>
    <x v="1"/>
  </r>
  <r>
    <x v="154"/>
    <n v="52669"/>
    <x v="12"/>
    <n v="777"/>
    <n v="3"/>
    <n v="1"/>
    <d v="1989-04-14T00:00:00"/>
    <n v="878597"/>
    <x v="1"/>
  </r>
  <r>
    <x v="256"/>
    <n v="34096"/>
    <x v="13"/>
    <n v="762"/>
    <n v="1"/>
    <n v="7"/>
    <d v="1985-10-10T00:00:00"/>
    <n v="787237"/>
    <x v="0"/>
  </r>
  <r>
    <x v="29"/>
    <n v="52047"/>
    <x v="14"/>
    <n v="717"/>
    <n v="2"/>
    <n v="5"/>
    <d v="1990-07-03T00:00:00"/>
    <n v="731639"/>
    <x v="2"/>
  </r>
  <r>
    <x v="330"/>
    <n v="84754"/>
    <x v="15"/>
    <n v="737"/>
    <n v="1"/>
    <n v="3"/>
    <d v="1993-01-17T00:00:00"/>
    <n v="915415"/>
    <x v="1"/>
  </r>
  <r>
    <x v="23"/>
    <n v="18361"/>
    <x v="11"/>
    <n v="769"/>
    <n v="2"/>
    <n v="5"/>
    <d v="1983-09-29T00:00:00"/>
    <n v="786099"/>
    <x v="2"/>
  </r>
  <r>
    <x v="122"/>
    <n v="30488"/>
    <x v="5"/>
    <n v="752"/>
    <n v="2"/>
    <n v="4"/>
    <d v="1993-07-28T00:00:00"/>
    <n v="839620"/>
    <x v="0"/>
  </r>
  <r>
    <x v="254"/>
    <n v="77076"/>
    <x v="23"/>
    <n v="727"/>
    <n v="4"/>
    <n v="2"/>
    <d v="1982-03-15T00:00:00"/>
    <n v="842570"/>
    <x v="0"/>
  </r>
  <r>
    <x v="196"/>
    <n v="51851"/>
    <x v="10"/>
    <n v="765"/>
    <n v="4"/>
    <n v="1"/>
    <d v="1987-04-01T00:00:00"/>
    <n v="528387"/>
    <x v="0"/>
  </r>
  <r>
    <x v="233"/>
    <n v="78225"/>
    <x v="0"/>
    <n v="701"/>
    <n v="2"/>
    <n v="3"/>
    <d v="1991-08-12T00:00:00"/>
    <n v="932665"/>
    <x v="2"/>
  </r>
  <r>
    <x v="28"/>
    <n v="19307"/>
    <x v="4"/>
    <n v="765"/>
    <n v="5"/>
    <n v="7"/>
    <d v="1983-05-03T00:00:00"/>
    <n v="791645"/>
    <x v="0"/>
  </r>
  <r>
    <x v="212"/>
    <n v="42060"/>
    <x v="10"/>
    <n v="731"/>
    <n v="4"/>
    <n v="4"/>
    <d v="1990-12-31T00:00:00"/>
    <n v="973062"/>
    <x v="2"/>
  </r>
  <r>
    <x v="237"/>
    <n v="85001"/>
    <x v="4"/>
    <n v="787"/>
    <n v="3"/>
    <n v="2"/>
    <d v="1982-12-01T00:00:00"/>
    <n v="931330"/>
    <x v="0"/>
  </r>
  <r>
    <x v="102"/>
    <n v="13133"/>
    <x v="19"/>
    <n v="795"/>
    <n v="5"/>
    <n v="6"/>
    <d v="1986-08-09T00:00:00"/>
    <n v="873159"/>
    <x v="0"/>
  </r>
  <r>
    <x v="187"/>
    <n v="47674"/>
    <x v="5"/>
    <n v="789"/>
    <n v="3"/>
    <n v="3"/>
    <d v="1986-10-12T00:00:00"/>
    <n v="541750"/>
    <x v="1"/>
  </r>
  <r>
    <x v="16"/>
    <n v="90047"/>
    <x v="12"/>
    <n v="723"/>
    <n v="1"/>
    <n v="6"/>
    <d v="1987-11-05T00:00:00"/>
    <n v="720035"/>
    <x v="0"/>
  </r>
  <r>
    <x v="21"/>
    <n v="78042"/>
    <x v="19"/>
    <n v="766"/>
    <n v="5"/>
    <n v="9"/>
    <d v="1981-12-08T00:00:00"/>
    <n v="816203"/>
    <x v="1"/>
  </r>
  <r>
    <x v="213"/>
    <n v="61426"/>
    <x v="4"/>
    <n v="718"/>
    <n v="2"/>
    <n v="4"/>
    <d v="1984-10-02T00:00:00"/>
    <n v="863899"/>
    <x v="1"/>
  </r>
  <r>
    <x v="330"/>
    <n v="12276"/>
    <x v="22"/>
    <n v="745"/>
    <n v="3"/>
    <n v="3"/>
    <d v="1980-10-11T00:00:00"/>
    <n v="952092"/>
    <x v="0"/>
  </r>
  <r>
    <x v="331"/>
    <n v="57318"/>
    <x v="6"/>
    <n v="739"/>
    <n v="4"/>
    <n v="4"/>
    <d v="1986-09-07T00:00:00"/>
    <n v="844742"/>
    <x v="0"/>
  </r>
  <r>
    <x v="15"/>
    <n v="50692"/>
    <x v="5"/>
    <n v="766"/>
    <n v="3"/>
    <n v="7"/>
    <d v="1990-09-03T00:00:00"/>
    <n v="673770"/>
    <x v="1"/>
  </r>
  <r>
    <x v="61"/>
    <n v="87524"/>
    <x v="15"/>
    <n v="729"/>
    <n v="1"/>
    <n v="8"/>
    <d v="1981-06-02T00:00:00"/>
    <n v="956323"/>
    <x v="1"/>
  </r>
  <r>
    <x v="216"/>
    <n v="54876"/>
    <x v="22"/>
    <n v="798"/>
    <n v="1"/>
    <n v="2"/>
    <d v="1980-03-13T00:00:00"/>
    <n v="912727"/>
    <x v="2"/>
  </r>
  <r>
    <x v="97"/>
    <n v="95528"/>
    <x v="2"/>
    <n v="767"/>
    <n v="2"/>
    <n v="10"/>
    <d v="1994-06-01T00:00:00"/>
    <n v="915427"/>
    <x v="1"/>
  </r>
  <r>
    <x v="22"/>
    <n v="81067"/>
    <x v="14"/>
    <n v="731"/>
    <n v="5"/>
    <n v="8"/>
    <d v="1985-10-23T00:00:00"/>
    <n v="806031"/>
    <x v="2"/>
  </r>
  <r>
    <x v="139"/>
    <n v="51072"/>
    <x v="8"/>
    <n v="703"/>
    <n v="4"/>
    <n v="6"/>
    <d v="1993-05-12T00:00:00"/>
    <n v="792854"/>
    <x v="0"/>
  </r>
  <r>
    <x v="50"/>
    <n v="95387"/>
    <x v="17"/>
    <n v="767"/>
    <n v="5"/>
    <n v="10"/>
    <d v="1991-09-04T00:00:00"/>
    <n v="556417"/>
    <x v="0"/>
  </r>
  <r>
    <x v="90"/>
    <n v="94660"/>
    <x v="13"/>
    <n v="788"/>
    <n v="1"/>
    <n v="2"/>
    <d v="1990-01-23T00:00:00"/>
    <n v="722600"/>
    <x v="2"/>
  </r>
  <r>
    <x v="48"/>
    <n v="48357"/>
    <x v="23"/>
    <n v="710"/>
    <n v="3"/>
    <n v="2"/>
    <d v="1990-11-28T00:00:00"/>
    <n v="536867"/>
    <x v="0"/>
  </r>
  <r>
    <x v="291"/>
    <n v="82429"/>
    <x v="12"/>
    <n v="751"/>
    <n v="2"/>
    <n v="2"/>
    <d v="1994-10-13T00:00:00"/>
    <n v="797411"/>
    <x v="0"/>
  </r>
  <r>
    <x v="167"/>
    <n v="42072"/>
    <x v="2"/>
    <n v="769"/>
    <n v="2"/>
    <n v="9"/>
    <d v="1994-09-24T00:00:00"/>
    <n v="776408"/>
    <x v="0"/>
  </r>
  <r>
    <x v="38"/>
    <n v="96186"/>
    <x v="6"/>
    <n v="798"/>
    <n v="3"/>
    <n v="9"/>
    <d v="1993-12-07T00:00:00"/>
    <n v="94990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8C7E5-67EE-4BEB-85B8-CADFAC5100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Loan Type">
  <location ref="A3:B7" firstHeaderRow="1" firstDataRow="1" firstDataCol="1"/>
  <pivotFields count="13">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showAll="0">
      <items count="25">
        <item x="18"/>
        <item x="16"/>
        <item x="15"/>
        <item x="22"/>
        <item x="12"/>
        <item x="23"/>
        <item x="19"/>
        <item x="3"/>
        <item x="0"/>
        <item x="2"/>
        <item x="7"/>
        <item x="4"/>
        <item x="14"/>
        <item x="1"/>
        <item x="11"/>
        <item x="5"/>
        <item x="13"/>
        <item x="17"/>
        <item x="20"/>
        <item x="9"/>
        <item x="21"/>
        <item x="6"/>
        <item x="8"/>
        <item x="10"/>
        <item t="default"/>
      </items>
    </pivotField>
    <pivotField showAll="0"/>
    <pivotField showAll="0"/>
    <pivotField showAll="0"/>
    <pivotField numFmtId="14" showAll="0"/>
    <pivotField dataField="1" showAll="0"/>
    <pivotField axis="axisRow" showAll="0">
      <items count="4">
        <item x="2"/>
        <item x="0"/>
        <item x="1"/>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8"/>
  </rowFields>
  <rowItems count="4">
    <i>
      <x/>
    </i>
    <i>
      <x v="1"/>
    </i>
    <i>
      <x v="2"/>
    </i>
    <i t="grand">
      <x/>
    </i>
  </rowItems>
  <colItems count="1">
    <i/>
  </colItems>
  <dataFields count="1">
    <dataField name="Sum of New Loan Application amount" fld="7" baseField="0" baseItem="0" numFmtId="166"/>
  </dataFields>
  <formats count="4">
    <format dxfId="29">
      <pivotArea outline="0" collapsedLevelsAreSubtotals="1" fieldPosition="0"/>
    </format>
    <format dxfId="28">
      <pivotArea dataOnly="0" labelOnly="1" outline="0" axis="axisValues" fieldPosition="0"/>
    </format>
    <format dxfId="27">
      <pivotArea outline="0" collapsedLevelsAreSubtotals="1" fieldPosition="0"/>
    </format>
    <format dxfId="26">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11" format="74" series="1">
      <pivotArea type="data" outline="0" fieldPosition="0">
        <references count="1">
          <reference field="4294967294" count="1" selected="0">
            <x v="0"/>
          </reference>
        </references>
      </pivotArea>
    </chartFormat>
    <chartFormat chart="0" format="28">
      <pivotArea type="data" outline="0" fieldPosition="0">
        <references count="2">
          <reference field="4294967294" count="1" selected="0">
            <x v="0"/>
          </reference>
          <reference field="8" count="1" selected="0">
            <x v="0"/>
          </reference>
        </references>
      </pivotArea>
    </chartFormat>
    <chartFormat chart="0" format="29">
      <pivotArea type="data" outline="0" fieldPosition="0">
        <references count="2">
          <reference field="4294967294" count="1" selected="0">
            <x v="0"/>
          </reference>
          <reference field="8" count="1" selected="0">
            <x v="1"/>
          </reference>
        </references>
      </pivotArea>
    </chartFormat>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8" count="1" selected="0">
            <x v="1"/>
          </reference>
        </references>
      </pivotArea>
    </chartFormat>
    <chartFormat chart="0" format="30">
      <pivotArea type="data" outline="0" fieldPosition="0">
        <references count="2">
          <reference field="4294967294" count="1" selected="0">
            <x v="0"/>
          </reference>
          <reference field="8" count="1" selected="0">
            <x v="2"/>
          </reference>
        </references>
      </pivotArea>
    </chartFormat>
    <chartFormat chart="33" format="2">
      <pivotArea type="data" outline="0" fieldPosition="0">
        <references count="2">
          <reference field="4294967294" count="1" selected="0">
            <x v="0"/>
          </reference>
          <reference field="8" count="1" selected="0">
            <x v="2"/>
          </reference>
        </references>
      </pivotArea>
    </chartFormat>
    <chartFormat chart="38" format="34" series="1">
      <pivotArea type="data" outline="0" fieldPosition="0">
        <references count="1">
          <reference field="4294967294" count="1" selected="0">
            <x v="0"/>
          </reference>
        </references>
      </pivotArea>
    </chartFormat>
    <chartFormat chart="38" format="35">
      <pivotArea type="data" outline="0" fieldPosition="0">
        <references count="2">
          <reference field="4294967294" count="1" selected="0">
            <x v="0"/>
          </reference>
          <reference field="8" count="1" selected="0">
            <x v="0"/>
          </reference>
        </references>
      </pivotArea>
    </chartFormat>
    <chartFormat chart="38" format="36">
      <pivotArea type="data" outline="0" fieldPosition="0">
        <references count="2">
          <reference field="4294967294" count="1" selected="0">
            <x v="0"/>
          </reference>
          <reference field="8" count="1" selected="0">
            <x v="2"/>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8" count="1" selected="0">
            <x v="0"/>
          </reference>
        </references>
      </pivotArea>
    </chartFormat>
    <chartFormat chart="39" format="9">
      <pivotArea type="data" outline="0" fieldPosition="0">
        <references count="2">
          <reference field="4294967294" count="1" selected="0">
            <x v="0"/>
          </reference>
          <reference field="8" count="1" selected="0">
            <x v="1"/>
          </reference>
        </references>
      </pivotArea>
    </chartFormat>
    <chartFormat chart="39" format="10">
      <pivotArea type="data" outline="0" fieldPosition="0">
        <references count="2">
          <reference field="4294967294" count="1" selected="0">
            <x v="0"/>
          </reference>
          <reference field="8" count="1" selected="0">
            <x v="2"/>
          </reference>
        </references>
      </pivotArea>
    </chartFormat>
    <chartFormat chart="33"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49DEF-1C1F-4E7C-A71D-00BD1BE2D5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Z8" firstHeaderRow="1" firstDataRow="2" firstDataCol="1"/>
  <pivotFields count="13">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axis="axisCol" showAll="0">
      <items count="25">
        <item x="18"/>
        <item x="16"/>
        <item x="15"/>
        <item x="22"/>
        <item x="12"/>
        <item x="23"/>
        <item x="19"/>
        <item x="3"/>
        <item x="0"/>
        <item x="2"/>
        <item x="7"/>
        <item x="4"/>
        <item x="14"/>
        <item x="1"/>
        <item x="11"/>
        <item x="5"/>
        <item x="13"/>
        <item x="17"/>
        <item x="20"/>
        <item x="9"/>
        <item x="21"/>
        <item x="6"/>
        <item x="8"/>
        <item x="10"/>
        <item t="default"/>
      </items>
    </pivotField>
    <pivotField showAll="0"/>
    <pivotField showAll="0"/>
    <pivotField showAll="0"/>
    <pivotField numFmtId="14" showAll="0"/>
    <pivotField dataField="1" showAll="0"/>
    <pivotField axis="axisRow" showAll="0">
      <items count="4">
        <item x="2"/>
        <item x="0"/>
        <item x="1"/>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8"/>
  </rowFields>
  <rowItems count="4">
    <i>
      <x/>
    </i>
    <i>
      <x v="1"/>
    </i>
    <i>
      <x v="2"/>
    </i>
    <i t="grand">
      <x/>
    </i>
  </rowItems>
  <colFields count="1">
    <field x="2"/>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name="Sum of New Loan Application amount" fld="7" baseField="0" baseItem="0" numFmtId="164"/>
  </dataFields>
  <chartFormats count="5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 chart="0" format="10" series="1">
      <pivotArea type="data" outline="0" fieldPosition="0">
        <references count="2">
          <reference field="4294967294" count="1" selected="0">
            <x v="0"/>
          </reference>
          <reference field="2" count="1" selected="0">
            <x v="10"/>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2"/>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4"/>
          </reference>
        </references>
      </pivotArea>
    </chartFormat>
    <chartFormat chart="0" format="15" series="1">
      <pivotArea type="data" outline="0" fieldPosition="0">
        <references count="2">
          <reference field="4294967294" count="1" selected="0">
            <x v="0"/>
          </reference>
          <reference field="2" count="1" selected="0">
            <x v="15"/>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9"/>
          </reference>
        </references>
      </pivotArea>
    </chartFormat>
    <chartFormat chart="0" format="20" series="1">
      <pivotArea type="data" outline="0" fieldPosition="0">
        <references count="2">
          <reference field="4294967294" count="1" selected="0">
            <x v="0"/>
          </reference>
          <reference field="2" count="1" selected="0">
            <x v="20"/>
          </reference>
        </references>
      </pivotArea>
    </chartFormat>
    <chartFormat chart="0" format="21" series="1">
      <pivotArea type="data" outline="0" fieldPosition="0">
        <references count="2">
          <reference field="4294967294" count="1" selected="0">
            <x v="0"/>
          </reference>
          <reference field="2" count="1" selected="0">
            <x v="21"/>
          </reference>
        </references>
      </pivotArea>
    </chartFormat>
    <chartFormat chart="0" format="22" series="1">
      <pivotArea type="data" outline="0" fieldPosition="0">
        <references count="2">
          <reference field="4294967294" count="1" selected="0">
            <x v="0"/>
          </reference>
          <reference field="2" count="1" selected="0">
            <x v="22"/>
          </reference>
        </references>
      </pivotArea>
    </chartFormat>
    <chartFormat chart="0" format="23" series="1">
      <pivotArea type="data" outline="0" fieldPosition="0">
        <references count="2">
          <reference field="4294967294" count="1" selected="0">
            <x v="0"/>
          </reference>
          <reference field="2" count="1" selected="0">
            <x v="23"/>
          </reference>
        </references>
      </pivotArea>
    </chartFormat>
    <chartFormat chart="0" format="24" series="1">
      <pivotArea type="data" outline="0" fieldPosition="0">
        <references count="2">
          <reference field="4294967294" count="1" selected="0">
            <x v="0"/>
          </reference>
          <reference field="2" count="1" selected="0">
            <x v="0"/>
          </reference>
        </references>
      </pivotArea>
    </chartFormat>
    <chartFormat chart="8" format="49" series="1">
      <pivotArea type="data" outline="0" fieldPosition="0">
        <references count="2">
          <reference field="4294967294" count="1" selected="0">
            <x v="0"/>
          </reference>
          <reference field="2" count="1" selected="0">
            <x v="0"/>
          </reference>
        </references>
      </pivotArea>
    </chartFormat>
    <chartFormat chart="8" format="50" series="1">
      <pivotArea type="data" outline="0" fieldPosition="0">
        <references count="2">
          <reference field="4294967294" count="1" selected="0">
            <x v="0"/>
          </reference>
          <reference field="2" count="1" selected="0">
            <x v="1"/>
          </reference>
        </references>
      </pivotArea>
    </chartFormat>
    <chartFormat chart="8" format="51" series="1">
      <pivotArea type="data" outline="0" fieldPosition="0">
        <references count="2">
          <reference field="4294967294" count="1" selected="0">
            <x v="0"/>
          </reference>
          <reference field="2" count="1" selected="0">
            <x v="2"/>
          </reference>
        </references>
      </pivotArea>
    </chartFormat>
    <chartFormat chart="8" format="52" series="1">
      <pivotArea type="data" outline="0" fieldPosition="0">
        <references count="2">
          <reference field="4294967294" count="1" selected="0">
            <x v="0"/>
          </reference>
          <reference field="2" count="1" selected="0">
            <x v="3"/>
          </reference>
        </references>
      </pivotArea>
    </chartFormat>
    <chartFormat chart="8" format="53" series="1">
      <pivotArea type="data" outline="0" fieldPosition="0">
        <references count="2">
          <reference field="4294967294" count="1" selected="0">
            <x v="0"/>
          </reference>
          <reference field="2" count="1" selected="0">
            <x v="4"/>
          </reference>
        </references>
      </pivotArea>
    </chartFormat>
    <chartFormat chart="8" format="54" series="1">
      <pivotArea type="data" outline="0" fieldPosition="0">
        <references count="2">
          <reference field="4294967294" count="1" selected="0">
            <x v="0"/>
          </reference>
          <reference field="2" count="1" selected="0">
            <x v="5"/>
          </reference>
        </references>
      </pivotArea>
    </chartFormat>
    <chartFormat chart="8" format="55" series="1">
      <pivotArea type="data" outline="0" fieldPosition="0">
        <references count="2">
          <reference field="4294967294" count="1" selected="0">
            <x v="0"/>
          </reference>
          <reference field="2" count="1" selected="0">
            <x v="6"/>
          </reference>
        </references>
      </pivotArea>
    </chartFormat>
    <chartFormat chart="8" format="56" series="1">
      <pivotArea type="data" outline="0" fieldPosition="0">
        <references count="2">
          <reference field="4294967294" count="1" selected="0">
            <x v="0"/>
          </reference>
          <reference field="2" count="1" selected="0">
            <x v="7"/>
          </reference>
        </references>
      </pivotArea>
    </chartFormat>
    <chartFormat chart="8" format="57" series="1">
      <pivotArea type="data" outline="0" fieldPosition="0">
        <references count="2">
          <reference field="4294967294" count="1" selected="0">
            <x v="0"/>
          </reference>
          <reference field="2" count="1" selected="0">
            <x v="8"/>
          </reference>
        </references>
      </pivotArea>
    </chartFormat>
    <chartFormat chart="8" format="58" series="1">
      <pivotArea type="data" outline="0" fieldPosition="0">
        <references count="2">
          <reference field="4294967294" count="1" selected="0">
            <x v="0"/>
          </reference>
          <reference field="2" count="1" selected="0">
            <x v="9"/>
          </reference>
        </references>
      </pivotArea>
    </chartFormat>
    <chartFormat chart="8" format="59" series="1">
      <pivotArea type="data" outline="0" fieldPosition="0">
        <references count="2">
          <reference field="4294967294" count="1" selected="0">
            <x v="0"/>
          </reference>
          <reference field="2" count="1" selected="0">
            <x v="10"/>
          </reference>
        </references>
      </pivotArea>
    </chartFormat>
    <chartFormat chart="8" format="60" series="1">
      <pivotArea type="data" outline="0" fieldPosition="0">
        <references count="2">
          <reference field="4294967294" count="1" selected="0">
            <x v="0"/>
          </reference>
          <reference field="2" count="1" selected="0">
            <x v="11"/>
          </reference>
        </references>
      </pivotArea>
    </chartFormat>
    <chartFormat chart="8" format="61" series="1">
      <pivotArea type="data" outline="0" fieldPosition="0">
        <references count="2">
          <reference field="4294967294" count="1" selected="0">
            <x v="0"/>
          </reference>
          <reference field="2" count="1" selected="0">
            <x v="12"/>
          </reference>
        </references>
      </pivotArea>
    </chartFormat>
    <chartFormat chart="8" format="62" series="1">
      <pivotArea type="data" outline="0" fieldPosition="0">
        <references count="2">
          <reference field="4294967294" count="1" selected="0">
            <x v="0"/>
          </reference>
          <reference field="2" count="1" selected="0">
            <x v="13"/>
          </reference>
        </references>
      </pivotArea>
    </chartFormat>
    <chartFormat chart="8" format="63" series="1">
      <pivotArea type="data" outline="0" fieldPosition="0">
        <references count="2">
          <reference field="4294967294" count="1" selected="0">
            <x v="0"/>
          </reference>
          <reference field="2" count="1" selected="0">
            <x v="14"/>
          </reference>
        </references>
      </pivotArea>
    </chartFormat>
    <chartFormat chart="8" format="64" series="1">
      <pivotArea type="data" outline="0" fieldPosition="0">
        <references count="2">
          <reference field="4294967294" count="1" selected="0">
            <x v="0"/>
          </reference>
          <reference field="2" count="1" selected="0">
            <x v="15"/>
          </reference>
        </references>
      </pivotArea>
    </chartFormat>
    <chartFormat chart="8" format="65" series="1">
      <pivotArea type="data" outline="0" fieldPosition="0">
        <references count="2">
          <reference field="4294967294" count="1" selected="0">
            <x v="0"/>
          </reference>
          <reference field="2" count="1" selected="0">
            <x v="16"/>
          </reference>
        </references>
      </pivotArea>
    </chartFormat>
    <chartFormat chart="8" format="66" series="1">
      <pivotArea type="data" outline="0" fieldPosition="0">
        <references count="2">
          <reference field="4294967294" count="1" selected="0">
            <x v="0"/>
          </reference>
          <reference field="2" count="1" selected="0">
            <x v="17"/>
          </reference>
        </references>
      </pivotArea>
    </chartFormat>
    <chartFormat chart="8" format="67" series="1">
      <pivotArea type="data" outline="0" fieldPosition="0">
        <references count="2">
          <reference field="4294967294" count="1" selected="0">
            <x v="0"/>
          </reference>
          <reference field="2" count="1" selected="0">
            <x v="18"/>
          </reference>
        </references>
      </pivotArea>
    </chartFormat>
    <chartFormat chart="8" format="68" series="1">
      <pivotArea type="data" outline="0" fieldPosition="0">
        <references count="2">
          <reference field="4294967294" count="1" selected="0">
            <x v="0"/>
          </reference>
          <reference field="2" count="1" selected="0">
            <x v="19"/>
          </reference>
        </references>
      </pivotArea>
    </chartFormat>
    <chartFormat chart="8" format="69" series="1">
      <pivotArea type="data" outline="0" fieldPosition="0">
        <references count="2">
          <reference field="4294967294" count="1" selected="0">
            <x v="0"/>
          </reference>
          <reference field="2" count="1" selected="0">
            <x v="20"/>
          </reference>
        </references>
      </pivotArea>
    </chartFormat>
    <chartFormat chart="8" format="70" series="1">
      <pivotArea type="data" outline="0" fieldPosition="0">
        <references count="2">
          <reference field="4294967294" count="1" selected="0">
            <x v="0"/>
          </reference>
          <reference field="2" count="1" selected="0">
            <x v="21"/>
          </reference>
        </references>
      </pivotArea>
    </chartFormat>
    <chartFormat chart="8" format="71" series="1">
      <pivotArea type="data" outline="0" fieldPosition="0">
        <references count="2">
          <reference field="4294967294" count="1" selected="0">
            <x v="0"/>
          </reference>
          <reference field="2" count="1" selected="0">
            <x v="22"/>
          </reference>
        </references>
      </pivotArea>
    </chartFormat>
    <chartFormat chart="8" format="72" series="1">
      <pivotArea type="data" outline="0" fieldPosition="0">
        <references count="2">
          <reference field="4294967294" count="1" selected="0">
            <x v="0"/>
          </reference>
          <reference field="2" count="1" selected="0">
            <x v="23"/>
          </reference>
        </references>
      </pivotArea>
    </chartFormat>
    <chartFormat chart="8"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513A2C-4CF8-4A47-A3ED-83B2E0DB8D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 Designation">
  <location ref="A3:B28" firstHeaderRow="1" firstDataRow="1" firstDataCol="1"/>
  <pivotFields count="13">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axis="axisRow" showAll="0">
      <items count="25">
        <item x="18"/>
        <item x="16"/>
        <item x="15"/>
        <item x="22"/>
        <item x="12"/>
        <item x="23"/>
        <item x="19"/>
        <item x="3"/>
        <item x="0"/>
        <item x="2"/>
        <item x="7"/>
        <item x="4"/>
        <item x="14"/>
        <item x="1"/>
        <item x="11"/>
        <item x="5"/>
        <item x="13"/>
        <item x="17"/>
        <item x="20"/>
        <item x="9"/>
        <item x="21"/>
        <item x="6"/>
        <item x="8"/>
        <item x="10"/>
        <item t="default"/>
      </items>
    </pivotField>
    <pivotField dataField="1" showAll="0"/>
    <pivotField showAll="0"/>
    <pivotField showAll="0"/>
    <pivotField numFmtId="14" showAll="0"/>
    <pivotField showAll="0"/>
    <pivotField showAll="0">
      <items count="4">
        <item x="2"/>
        <item x="0"/>
        <item x="1"/>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redit Score" fld="3" subtotal="average" baseField="2" baseItem="2"/>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51233-FA61-4164-96B4-69C9B44A5F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 - Designation">
  <location ref="A3:D28" firstHeaderRow="0" firstDataRow="1" firstDataCol="1"/>
  <pivotFields count="13">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showAll="0"/>
    <pivotField axis="axisRow" showAll="0">
      <items count="25">
        <item x="18"/>
        <item x="16"/>
        <item x="15"/>
        <item x="22"/>
        <item x="12"/>
        <item x="23"/>
        <item x="19"/>
        <item x="3"/>
        <item x="0"/>
        <item x="2"/>
        <item x="7"/>
        <item x="4"/>
        <item x="14"/>
        <item x="1"/>
        <item x="11"/>
        <item x="5"/>
        <item x="13"/>
        <item x="17"/>
        <item x="20"/>
        <item x="9"/>
        <item x="21"/>
        <item x="6"/>
        <item x="8"/>
        <item x="10"/>
        <item t="default"/>
      </items>
    </pivotField>
    <pivotField showAll="0"/>
    <pivotField dataField="1" showAll="0"/>
    <pivotField dataField="1" showAll="0"/>
    <pivotField numFmtId="14" showAll="0"/>
    <pivotField showAll="0"/>
    <pivotField showAll="0">
      <items count="4">
        <item x="2"/>
        <item x="0"/>
        <item x="1"/>
        <item t="default"/>
      </items>
    </pivotField>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Past Loans" fld="4" baseField="0" baseItem="0"/>
    <dataField name="Sum of Emi Defaults" fld="5" baseField="0" baseItem="0"/>
    <dataField name="Sum of Default Rate" fld="9" baseField="0" baseItem="0" numFmtId="165"/>
  </dataFields>
  <formats count="12">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outline="0" fieldPosition="0">
        <references count="1">
          <reference field="4294967294" count="3">
            <x v="0"/>
            <x v="1"/>
            <x v="2"/>
          </reference>
        </references>
      </pivotArea>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98096-9D1F-421D-8A13-7AC2293EA43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A3:C17" firstHeaderRow="0" firstDataRow="1" firstDataCol="1"/>
  <pivotFields count="13">
    <pivotField numFmtId="14" showAll="0">
      <items count="333">
        <item x="179"/>
        <item x="308"/>
        <item x="27"/>
        <item x="99"/>
        <item x="89"/>
        <item x="38"/>
        <item x="15"/>
        <item x="83"/>
        <item x="111"/>
        <item x="108"/>
        <item x="153"/>
        <item x="286"/>
        <item x="102"/>
        <item x="215"/>
        <item x="312"/>
        <item x="4"/>
        <item x="197"/>
        <item x="41"/>
        <item x="60"/>
        <item x="263"/>
        <item x="173"/>
        <item x="314"/>
        <item x="185"/>
        <item x="259"/>
        <item x="306"/>
        <item x="33"/>
        <item x="167"/>
        <item x="307"/>
        <item x="81"/>
        <item x="251"/>
        <item x="280"/>
        <item x="136"/>
        <item x="150"/>
        <item x="12"/>
        <item x="234"/>
        <item x="146"/>
        <item x="20"/>
        <item x="217"/>
        <item x="55"/>
        <item x="316"/>
        <item x="72"/>
        <item x="178"/>
        <item x="112"/>
        <item x="101"/>
        <item x="248"/>
        <item x="47"/>
        <item x="135"/>
        <item x="68"/>
        <item x="73"/>
        <item x="276"/>
        <item x="51"/>
        <item x="46"/>
        <item x="283"/>
        <item x="170"/>
        <item x="290"/>
        <item x="212"/>
        <item x="254"/>
        <item x="95"/>
        <item x="43"/>
        <item x="235"/>
        <item x="21"/>
        <item x="244"/>
        <item x="30"/>
        <item x="320"/>
        <item x="216"/>
        <item x="123"/>
        <item x="323"/>
        <item x="98"/>
        <item x="269"/>
        <item x="14"/>
        <item x="255"/>
        <item x="59"/>
        <item x="39"/>
        <item x="159"/>
        <item x="131"/>
        <item x="247"/>
        <item x="127"/>
        <item x="317"/>
        <item x="202"/>
        <item x="300"/>
        <item x="218"/>
        <item x="275"/>
        <item x="128"/>
        <item x="161"/>
        <item x="54"/>
        <item x="160"/>
        <item x="260"/>
        <item x="6"/>
        <item x="188"/>
        <item x="328"/>
        <item x="79"/>
        <item x="267"/>
        <item x="80"/>
        <item x="65"/>
        <item x="8"/>
        <item x="97"/>
        <item x="225"/>
        <item x="31"/>
        <item x="137"/>
        <item x="319"/>
        <item x="253"/>
        <item x="52"/>
        <item x="17"/>
        <item x="45"/>
        <item x="322"/>
        <item x="61"/>
        <item x="119"/>
        <item x="205"/>
        <item x="192"/>
        <item x="310"/>
        <item x="220"/>
        <item x="228"/>
        <item x="1"/>
        <item x="145"/>
        <item x="23"/>
        <item x="103"/>
        <item x="224"/>
        <item x="303"/>
        <item x="222"/>
        <item x="9"/>
        <item x="142"/>
        <item x="326"/>
        <item x="264"/>
        <item x="250"/>
        <item x="227"/>
        <item x="92"/>
        <item x="29"/>
        <item x="288"/>
        <item x="19"/>
        <item x="75"/>
        <item x="184"/>
        <item x="62"/>
        <item x="325"/>
        <item x="284"/>
        <item x="94"/>
        <item x="329"/>
        <item x="122"/>
        <item x="214"/>
        <item x="130"/>
        <item x="198"/>
        <item x="279"/>
        <item x="240"/>
        <item x="126"/>
        <item x="11"/>
        <item x="292"/>
        <item x="277"/>
        <item x="239"/>
        <item x="257"/>
        <item x="191"/>
        <item x="64"/>
        <item x="163"/>
        <item x="16"/>
        <item x="274"/>
        <item x="147"/>
        <item x="298"/>
        <item x="121"/>
        <item x="66"/>
        <item x="226"/>
        <item x="129"/>
        <item x="256"/>
        <item x="207"/>
        <item x="110"/>
        <item x="231"/>
        <item x="5"/>
        <item x="76"/>
        <item x="117"/>
        <item x="58"/>
        <item x="201"/>
        <item x="134"/>
        <item x="115"/>
        <item x="233"/>
        <item x="165"/>
        <item x="221"/>
        <item x="318"/>
        <item x="120"/>
        <item x="174"/>
        <item x="252"/>
        <item x="93"/>
        <item x="125"/>
        <item x="210"/>
        <item x="91"/>
        <item x="311"/>
        <item x="271"/>
        <item x="196"/>
        <item x="36"/>
        <item x="282"/>
        <item x="56"/>
        <item x="182"/>
        <item x="149"/>
        <item x="195"/>
        <item x="166"/>
        <item x="78"/>
        <item x="90"/>
        <item x="48"/>
        <item x="3"/>
        <item x="249"/>
        <item x="203"/>
        <item x="138"/>
        <item x="85"/>
        <item x="132"/>
        <item x="82"/>
        <item x="304"/>
        <item x="114"/>
        <item x="199"/>
        <item x="22"/>
        <item x="139"/>
        <item x="172"/>
        <item x="219"/>
        <item x="71"/>
        <item x="208"/>
        <item x="190"/>
        <item x="272"/>
        <item x="140"/>
        <item x="40"/>
        <item x="186"/>
        <item x="223"/>
        <item x="309"/>
        <item x="193"/>
        <item x="162"/>
        <item x="18"/>
        <item x="297"/>
        <item x="158"/>
        <item x="331"/>
        <item x="246"/>
        <item x="7"/>
        <item x="176"/>
        <item x="273"/>
        <item x="74"/>
        <item x="327"/>
        <item x="0"/>
        <item x="175"/>
        <item x="13"/>
        <item x="262"/>
        <item x="315"/>
        <item x="44"/>
        <item x="200"/>
        <item x="87"/>
        <item x="229"/>
        <item x="42"/>
        <item x="204"/>
        <item x="24"/>
        <item x="168"/>
        <item x="113"/>
        <item x="88"/>
        <item x="302"/>
        <item x="53"/>
        <item x="289"/>
        <item x="70"/>
        <item x="305"/>
        <item x="57"/>
        <item x="148"/>
        <item x="287"/>
        <item x="154"/>
        <item x="301"/>
        <item x="171"/>
        <item x="180"/>
        <item x="118"/>
        <item x="238"/>
        <item x="2"/>
        <item x="69"/>
        <item x="86"/>
        <item x="77"/>
        <item x="330"/>
        <item x="237"/>
        <item x="209"/>
        <item x="268"/>
        <item x="285"/>
        <item x="177"/>
        <item x="116"/>
        <item x="296"/>
        <item x="50"/>
        <item x="107"/>
        <item x="281"/>
        <item x="294"/>
        <item x="211"/>
        <item x="181"/>
        <item x="34"/>
        <item x="152"/>
        <item x="295"/>
        <item x="236"/>
        <item x="35"/>
        <item x="105"/>
        <item x="157"/>
        <item x="100"/>
        <item x="156"/>
        <item x="133"/>
        <item x="84"/>
        <item x="206"/>
        <item x="124"/>
        <item x="25"/>
        <item x="143"/>
        <item x="278"/>
        <item x="28"/>
        <item x="141"/>
        <item x="270"/>
        <item x="313"/>
        <item x="265"/>
        <item x="266"/>
        <item x="49"/>
        <item x="144"/>
        <item x="63"/>
        <item x="26"/>
        <item x="109"/>
        <item x="104"/>
        <item x="169"/>
        <item x="194"/>
        <item x="299"/>
        <item x="232"/>
        <item x="67"/>
        <item x="291"/>
        <item x="164"/>
        <item x="242"/>
        <item x="37"/>
        <item x="258"/>
        <item x="10"/>
        <item x="241"/>
        <item x="245"/>
        <item x="183"/>
        <item x="261"/>
        <item x="243"/>
        <item x="106"/>
        <item x="151"/>
        <item x="155"/>
        <item x="324"/>
        <item x="96"/>
        <item x="321"/>
        <item x="213"/>
        <item x="293"/>
        <item x="189"/>
        <item x="187"/>
        <item x="230"/>
        <item x="32"/>
        <item t="default"/>
      </items>
    </pivotField>
    <pivotField dataField="1" showAll="0"/>
    <pivotField showAll="0">
      <items count="25">
        <item x="18"/>
        <item x="16"/>
        <item x="15"/>
        <item x="22"/>
        <item x="12"/>
        <item x="23"/>
        <item x="19"/>
        <item x="3"/>
        <item x="0"/>
        <item x="2"/>
        <item x="7"/>
        <item x="4"/>
        <item x="14"/>
        <item x="1"/>
        <item x="11"/>
        <item x="5"/>
        <item x="13"/>
        <item x="17"/>
        <item x="20"/>
        <item x="9"/>
        <item x="21"/>
        <item x="6"/>
        <item x="8"/>
        <item x="10"/>
        <item t="default"/>
      </items>
    </pivotField>
    <pivotField showAll="0"/>
    <pivotField showAll="0"/>
    <pivotField showAll="0"/>
    <pivotField numFmtId="14" showAll="0"/>
    <pivotField dataField="1" showAll="0"/>
    <pivotField showAll="0">
      <items count="4">
        <item x="2"/>
        <item x="0"/>
        <item x="1"/>
        <item t="default"/>
      </items>
    </pivotField>
    <pivotField dragToRow="0" dragToCol="0" dragToPage="0" showAll="0" defaultSubtota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2"/>
    <field x="11"/>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CustomerID" fld="1" baseField="0" baseItem="0"/>
    <dataField name="Sum of New Loan Application amount" fld="7" baseField="0" baseItem="0"/>
  </dataFields>
  <formats count="14">
    <format dxfId="13">
      <pivotArea type="all" dataOnly="0" outline="0" fieldPosition="0"/>
    </format>
    <format dxfId="12">
      <pivotArea outline="0" collapsedLevelsAreSubtotals="1" fieldPosition="0"/>
    </format>
    <format dxfId="11">
      <pivotArea field="12" type="button" dataOnly="0" labelOnly="1" outline="0" axis="axisRow" fieldPosition="0"/>
    </format>
    <format dxfId="10">
      <pivotArea dataOnly="0" labelOnly="1" fieldPosition="0">
        <references count="1">
          <reference field="12" count="1">
            <x v="1"/>
          </reference>
        </references>
      </pivotArea>
    </format>
    <format dxfId="9">
      <pivotArea dataOnly="0" labelOnly="1" grandRow="1" outline="0" fieldPosition="0"/>
    </format>
    <format dxfId="8">
      <pivotArea dataOnly="0" labelOnly="1" fieldPosition="0">
        <references count="2">
          <reference field="11" count="12">
            <x v="1"/>
            <x v="2"/>
            <x v="3"/>
            <x v="4"/>
            <x v="5"/>
            <x v="6"/>
            <x v="7"/>
            <x v="8"/>
            <x v="9"/>
            <x v="10"/>
            <x v="11"/>
            <x v="12"/>
          </reference>
          <reference field="12" count="1" selected="0">
            <x v="1"/>
          </reference>
        </references>
      </pivotArea>
    </format>
    <format dxfId="7">
      <pivotArea dataOnly="0" labelOnly="1" outline="0" fieldPosition="0">
        <references count="1">
          <reference field="4294967294" count="2">
            <x v="0"/>
            <x v="1"/>
          </reference>
        </references>
      </pivotArea>
    </format>
    <format dxfId="6">
      <pivotArea type="all" dataOnly="0" outline="0" fieldPosition="0"/>
    </format>
    <format dxfId="5">
      <pivotArea outline="0" collapsedLevelsAreSubtotals="1" fieldPosition="0"/>
    </format>
    <format dxfId="4">
      <pivotArea field="12" type="button" dataOnly="0" labelOnly="1" outline="0" axis="axisRow" fieldPosition="0"/>
    </format>
    <format dxfId="3">
      <pivotArea dataOnly="0" labelOnly="1" fieldPosition="0">
        <references count="1">
          <reference field="12" count="1">
            <x v="1"/>
          </reference>
        </references>
      </pivotArea>
    </format>
    <format dxfId="2">
      <pivotArea dataOnly="0" labelOnly="1" grandRow="1" outline="0" fieldPosition="0"/>
    </format>
    <format dxfId="1">
      <pivotArea dataOnly="0" labelOnly="1" fieldPosition="0">
        <references count="2">
          <reference field="11" count="12">
            <x v="1"/>
            <x v="2"/>
            <x v="3"/>
            <x v="4"/>
            <x v="5"/>
            <x v="6"/>
            <x v="7"/>
            <x v="8"/>
            <x v="9"/>
            <x v="10"/>
            <x v="11"/>
            <x v="12"/>
          </reference>
          <reference field="12" count="1" selected="0">
            <x v="1"/>
          </reference>
        </references>
      </pivotArea>
    </format>
    <format dxfId="0">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51BF3A57-0487-4843-8431-E58621CD65A1}" sourceName="Loan Type">
  <pivotTables>
    <pivotTable tabId="2" name="PivotTable1"/>
    <pivotTable tabId="5" name="PivotTable2"/>
    <pivotTable tabId="6" name="PivotTable3"/>
    <pivotTable tabId="7" name="PivotTable1"/>
    <pivotTable tabId="8" name="PivotTable2"/>
  </pivotTables>
  <data>
    <tabular pivotCacheId="7554686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__Designation" xr10:uid="{FFB80F33-0716-432E-8286-E2BEC1DED2E2}" sourceName="Department - Designation">
  <pivotTables>
    <pivotTable tabId="8" name="PivotTable2"/>
    <pivotTable tabId="2" name="PivotTable1"/>
    <pivotTable tabId="5" name="PivotTable2"/>
    <pivotTable tabId="6" name="PivotTable3"/>
    <pivotTable tabId="7" name="PivotTable1"/>
  </pivotTables>
  <data>
    <tabular pivotCacheId="755468682">
      <items count="24">
        <i x="18" s="1"/>
        <i x="16" s="1"/>
        <i x="15" s="1"/>
        <i x="22" s="1"/>
        <i x="12" s="1"/>
        <i x="23" s="1"/>
        <i x="19" s="1"/>
        <i x="3" s="1"/>
        <i x="0" s="1"/>
        <i x="2" s="1"/>
        <i x="7" s="1"/>
        <i x="4" s="1"/>
        <i x="14" s="1"/>
        <i x="1" s="1"/>
        <i x="11" s="1"/>
        <i x="5" s="1"/>
        <i x="13" s="1"/>
        <i x="17" s="1"/>
        <i x="20" s="1"/>
        <i x="9" s="1"/>
        <i x="21" s="1"/>
        <i x="6"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Loan_Application_Date" xr10:uid="{88F0D9C8-E917-47FF-A922-34D9E346AC1A}" sourceName="Months (Loan Application Date)">
  <pivotTables>
    <pivotTable tabId="6" name="PivotTable3"/>
    <pivotTable tabId="2" name="PivotTable1"/>
    <pivotTable tabId="5" name="PivotTable2"/>
    <pivotTable tabId="7" name="PivotTable1"/>
    <pivotTable tabId="8" name="PivotTable2"/>
  </pivotTables>
  <data>
    <tabular pivotCacheId="75546868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Type 2" xr10:uid="{4967F944-E681-40BE-BE97-F61C1F99A3C2}" cache="Slicer_Loan_Type1" caption="Loan Type" style="SlicerStyleDark6" rowHeight="273050"/>
  <slicer name="Department - Designation 1" xr10:uid="{9FA85386-AC1F-404D-9CB7-D523C16E742F}" cache="Slicer_Department___Designation" caption="Department - Designation" startItem="3" rowHeight="273050"/>
  <slicer name="Months (Loan Application Date) 1" xr10:uid="{DCE771C4-DF70-4AEC-A53B-EA213655A08B}" cache="Slicer_Months__Loan_Application_Date" caption="Months (Loan Application Date)"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Type 1" xr10:uid="{2CDB0292-A242-43FA-A2CF-B62F95F8DE3A}" cache="Slicer_Loan_Type1" caption="Loan Type" style="SlicerStyleDark6"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Type" xr10:uid="{346358A7-11B5-4C2C-938D-B9DA3858DE3B}" cache="Slicer_Loan_Type1" caption="Loan Type" rowHeight="273050"/>
  <slicer name="Months (Loan Application Date)" xr10:uid="{67DEABFD-3B4C-460F-BEB2-EB596CE451AC}" cache="Slicer_Months__Loan_Application_Date" caption="Months (Loan Application Date)"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 Designation" xr10:uid="{2711AD4F-919B-44CA-9547-E695F61ED98B}" cache="Slicer_Department___Designation" caption="Department - Designation"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44F811-65B9-425C-8C9D-E18F65B67305}" name="Table2" displayName="Table2" ref="A1:I1096" totalsRowShown="0" headerRowDxfId="40" dataDxfId="39">
  <autoFilter ref="A1:I1096" xr:uid="{6444F811-65B9-425C-8C9D-E18F65B67305}"/>
  <tableColumns count="9">
    <tableColumn id="1" xr3:uid="{6605A03E-2412-4C50-B7CD-15F72C6E472B}" name="Loan Application Date" dataDxfId="38"/>
    <tableColumn id="2" xr3:uid="{959F43E3-0151-4905-B58F-5A1CD47BD61E}" name="CustomerID" dataDxfId="37"/>
    <tableColumn id="3" xr3:uid="{361E180E-9628-4EB7-A5DA-1FF65F0AFEE6}" name="Department - Designation" dataDxfId="36"/>
    <tableColumn id="4" xr3:uid="{28DD40ED-545D-4306-BF92-4CE3C1FECDB8}" name="Credit Score" dataDxfId="35"/>
    <tableColumn id="5" xr3:uid="{CED5840F-04DE-4D83-9879-FF2F7E6FA4A5}" name="Past Loans" dataDxfId="34"/>
    <tableColumn id="6" xr3:uid="{8E708F2F-6EA2-41DB-BF1C-B3C9E043748D}" name="Emi Defaults" dataDxfId="33"/>
    <tableColumn id="7" xr3:uid="{D8DB80A9-4013-46FA-A933-ED11377E7B98}" name="Date of Birth" dataDxfId="32"/>
    <tableColumn id="8" xr3:uid="{01EC5B36-84E4-4417-BE38-28891AAA2BBF}" name="New Loan Application amount" dataDxfId="31"/>
    <tableColumn id="9" xr3:uid="{F2932582-A5E7-4D77-A82A-521D9BA97B31}" name="Loan Typ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0319-805C-224B-A8BB-008BDFE69053}">
  <dimension ref="A1:J1096"/>
  <sheetViews>
    <sheetView workbookViewId="0">
      <pane ySplit="1" topLeftCell="A2" activePane="bottomLeft" state="frozen"/>
      <selection pane="bottomLeft" activeCell="C33" sqref="C33"/>
    </sheetView>
  </sheetViews>
  <sheetFormatPr defaultColWidth="10.6640625" defaultRowHeight="16" x14ac:dyDescent="0.4"/>
  <cols>
    <col min="1" max="1" width="20.75" customWidth="1"/>
    <col min="2" max="2" width="12.58203125" customWidth="1"/>
    <col min="3" max="3" width="23.75" customWidth="1"/>
    <col min="4" max="4" width="12.83203125" customWidth="1"/>
    <col min="5" max="5" width="11.5" customWidth="1"/>
    <col min="6" max="6" width="13.08203125" customWidth="1"/>
    <col min="7" max="7" width="12.75" customWidth="1"/>
    <col min="8" max="8" width="27.25" customWidth="1"/>
    <col min="9" max="9" width="10.83203125" customWidth="1"/>
  </cols>
  <sheetData>
    <row r="1" spans="1:10" x14ac:dyDescent="0.4">
      <c r="A1" s="1" t="s">
        <v>0</v>
      </c>
      <c r="B1" s="1" t="s">
        <v>1</v>
      </c>
      <c r="C1" s="1" t="s">
        <v>2</v>
      </c>
      <c r="D1" s="1" t="s">
        <v>3</v>
      </c>
      <c r="E1" s="1" t="s">
        <v>4</v>
      </c>
      <c r="F1" s="1" t="s">
        <v>5</v>
      </c>
      <c r="G1" s="1" t="s">
        <v>6</v>
      </c>
      <c r="H1" s="1" t="s">
        <v>7</v>
      </c>
      <c r="I1" s="1" t="s">
        <v>8</v>
      </c>
      <c r="J1" s="1"/>
    </row>
    <row r="2" spans="1:10" x14ac:dyDescent="0.4">
      <c r="A2" s="14">
        <v>44069</v>
      </c>
      <c r="B2" s="5">
        <v>91270</v>
      </c>
      <c r="C2" s="5" t="s">
        <v>9</v>
      </c>
      <c r="D2" s="5">
        <v>700</v>
      </c>
      <c r="E2" s="5">
        <v>3</v>
      </c>
      <c r="F2" s="5">
        <v>5</v>
      </c>
      <c r="G2" s="14">
        <v>32436</v>
      </c>
      <c r="H2" s="5">
        <v>724892</v>
      </c>
      <c r="I2" s="5" t="s">
        <v>10</v>
      </c>
    </row>
    <row r="3" spans="1:10" x14ac:dyDescent="0.4">
      <c r="A3" s="14">
        <v>43945</v>
      </c>
      <c r="B3" s="5">
        <v>19419</v>
      </c>
      <c r="C3" s="5" t="s">
        <v>11</v>
      </c>
      <c r="D3" s="5">
        <v>738</v>
      </c>
      <c r="E3" s="5">
        <v>1</v>
      </c>
      <c r="F3" s="5">
        <v>10</v>
      </c>
      <c r="G3" s="14">
        <v>33009</v>
      </c>
      <c r="H3" s="5">
        <v>619419</v>
      </c>
      <c r="I3" s="5" t="s">
        <v>10</v>
      </c>
    </row>
    <row r="4" spans="1:10" x14ac:dyDescent="0.4">
      <c r="A4" s="14">
        <v>44099</v>
      </c>
      <c r="B4" s="5">
        <v>33678</v>
      </c>
      <c r="C4" s="5" t="s">
        <v>12</v>
      </c>
      <c r="D4" s="5">
        <v>797</v>
      </c>
      <c r="E4" s="5">
        <v>5</v>
      </c>
      <c r="F4" s="5">
        <v>9</v>
      </c>
      <c r="G4" s="14">
        <v>33617</v>
      </c>
      <c r="H4" s="5">
        <v>546715</v>
      </c>
      <c r="I4" s="5" t="s">
        <v>10</v>
      </c>
    </row>
    <row r="5" spans="1:10" x14ac:dyDescent="0.4">
      <c r="A5" s="14">
        <v>44032</v>
      </c>
      <c r="B5" s="5">
        <v>66356</v>
      </c>
      <c r="C5" s="5" t="s">
        <v>13</v>
      </c>
      <c r="D5" s="5">
        <v>798</v>
      </c>
      <c r="E5" s="5">
        <v>1</v>
      </c>
      <c r="F5" s="5">
        <v>3</v>
      </c>
      <c r="G5" s="14">
        <v>31680</v>
      </c>
      <c r="H5" s="5">
        <v>591212</v>
      </c>
      <c r="I5" s="5" t="s">
        <v>14</v>
      </c>
    </row>
    <row r="6" spans="1:10" x14ac:dyDescent="0.4">
      <c r="A6" s="14">
        <v>43847</v>
      </c>
      <c r="B6" s="5">
        <v>85241</v>
      </c>
      <c r="C6" s="5" t="s">
        <v>15</v>
      </c>
      <c r="D6" s="5">
        <v>712</v>
      </c>
      <c r="E6" s="5">
        <v>2</v>
      </c>
      <c r="F6" s="5">
        <v>2</v>
      </c>
      <c r="G6" s="14">
        <v>34019</v>
      </c>
      <c r="H6" s="5">
        <v>853015</v>
      </c>
      <c r="I6" s="5" t="s">
        <v>10</v>
      </c>
    </row>
    <row r="7" spans="1:10" x14ac:dyDescent="0.4">
      <c r="A7" s="14">
        <v>43997</v>
      </c>
      <c r="B7" s="5">
        <v>83733</v>
      </c>
      <c r="C7" s="5" t="s">
        <v>16</v>
      </c>
      <c r="D7" s="5">
        <v>783</v>
      </c>
      <c r="E7" s="5">
        <v>4</v>
      </c>
      <c r="F7" s="5">
        <v>3</v>
      </c>
      <c r="G7" s="14">
        <v>30911</v>
      </c>
      <c r="H7" s="5">
        <v>873595</v>
      </c>
      <c r="I7" s="5" t="s">
        <v>17</v>
      </c>
    </row>
    <row r="8" spans="1:10" x14ac:dyDescent="0.4">
      <c r="A8" s="14">
        <v>43919</v>
      </c>
      <c r="B8" s="5">
        <v>40255</v>
      </c>
      <c r="C8" s="5" t="s">
        <v>18</v>
      </c>
      <c r="D8" s="5">
        <v>725</v>
      </c>
      <c r="E8" s="5">
        <v>1</v>
      </c>
      <c r="F8" s="5">
        <v>5</v>
      </c>
      <c r="G8" s="14">
        <v>30420</v>
      </c>
      <c r="H8" s="5">
        <v>779732</v>
      </c>
      <c r="I8" s="5" t="s">
        <v>17</v>
      </c>
    </row>
    <row r="9" spans="1:10" x14ac:dyDescent="0.4">
      <c r="A9" s="14">
        <v>44063</v>
      </c>
      <c r="B9" s="5">
        <v>23150</v>
      </c>
      <c r="C9" s="5" t="s">
        <v>19</v>
      </c>
      <c r="D9" s="5">
        <v>795</v>
      </c>
      <c r="E9" s="5">
        <v>3</v>
      </c>
      <c r="F9" s="5">
        <v>1</v>
      </c>
      <c r="G9" s="14">
        <v>33696</v>
      </c>
      <c r="H9" s="5">
        <v>827502</v>
      </c>
      <c r="I9" s="5" t="s">
        <v>10</v>
      </c>
    </row>
    <row r="10" spans="1:10" x14ac:dyDescent="0.4">
      <c r="A10" s="14">
        <v>43926</v>
      </c>
      <c r="B10" s="5">
        <v>61923</v>
      </c>
      <c r="C10" s="5" t="s">
        <v>20</v>
      </c>
      <c r="D10" s="5">
        <v>730</v>
      </c>
      <c r="E10" s="5">
        <v>4</v>
      </c>
      <c r="F10" s="5">
        <v>2</v>
      </c>
      <c r="G10" s="14">
        <v>34492</v>
      </c>
      <c r="H10" s="5">
        <v>939272</v>
      </c>
      <c r="I10" s="5" t="s">
        <v>10</v>
      </c>
    </row>
    <row r="11" spans="1:10" x14ac:dyDescent="0.4">
      <c r="A11" s="14">
        <v>43952</v>
      </c>
      <c r="B11" s="5">
        <v>32314</v>
      </c>
      <c r="C11" s="5" t="s">
        <v>21</v>
      </c>
      <c r="D11" s="5">
        <v>711</v>
      </c>
      <c r="E11" s="5">
        <v>5</v>
      </c>
      <c r="F11" s="5">
        <v>4</v>
      </c>
      <c r="G11" s="14">
        <v>32747</v>
      </c>
      <c r="H11" s="5">
        <v>748267</v>
      </c>
      <c r="I11" s="5" t="s">
        <v>10</v>
      </c>
    </row>
    <row r="12" spans="1:10" x14ac:dyDescent="0.4">
      <c r="A12" s="14">
        <v>44158</v>
      </c>
      <c r="B12" s="5">
        <v>51904</v>
      </c>
      <c r="C12" s="5" t="s">
        <v>12</v>
      </c>
      <c r="D12" s="5">
        <v>718</v>
      </c>
      <c r="E12" s="5">
        <v>4</v>
      </c>
      <c r="F12" s="5">
        <v>10</v>
      </c>
      <c r="G12" s="14">
        <v>33368</v>
      </c>
      <c r="H12" s="5">
        <v>845409</v>
      </c>
      <c r="I12" s="5" t="s">
        <v>10</v>
      </c>
    </row>
    <row r="13" spans="1:10" x14ac:dyDescent="0.4">
      <c r="A13" s="14">
        <v>43977</v>
      </c>
      <c r="B13" s="5">
        <v>10949</v>
      </c>
      <c r="C13" s="5" t="s">
        <v>22</v>
      </c>
      <c r="D13" s="5">
        <v>701</v>
      </c>
      <c r="E13" s="5">
        <v>5</v>
      </c>
      <c r="F13" s="5">
        <v>4</v>
      </c>
      <c r="G13" s="14">
        <v>33211</v>
      </c>
      <c r="H13" s="5">
        <v>855796</v>
      </c>
      <c r="I13" s="5" t="s">
        <v>10</v>
      </c>
    </row>
    <row r="14" spans="1:10" x14ac:dyDescent="0.4">
      <c r="A14" s="14">
        <v>43865</v>
      </c>
      <c r="B14" s="5">
        <v>42544</v>
      </c>
      <c r="C14" s="5" t="s">
        <v>23</v>
      </c>
      <c r="D14" s="5">
        <v>776</v>
      </c>
      <c r="E14" s="5">
        <v>2</v>
      </c>
      <c r="F14" s="5">
        <v>3</v>
      </c>
      <c r="G14" s="14">
        <v>32398</v>
      </c>
      <c r="H14" s="5">
        <v>558415</v>
      </c>
      <c r="I14" s="5" t="s">
        <v>14</v>
      </c>
    </row>
    <row r="15" spans="1:10" x14ac:dyDescent="0.4">
      <c r="A15" s="14">
        <v>44072</v>
      </c>
      <c r="B15" s="5">
        <v>10892</v>
      </c>
      <c r="C15" s="5" t="s">
        <v>16</v>
      </c>
      <c r="D15" s="5">
        <v>719</v>
      </c>
      <c r="E15" s="5">
        <v>2</v>
      </c>
      <c r="F15" s="5">
        <v>3</v>
      </c>
      <c r="G15" s="14">
        <v>31640</v>
      </c>
      <c r="H15" s="5">
        <v>832131</v>
      </c>
      <c r="I15" s="5" t="s">
        <v>14</v>
      </c>
    </row>
    <row r="16" spans="1:10" x14ac:dyDescent="0.4">
      <c r="A16" s="14">
        <v>43901</v>
      </c>
      <c r="B16" s="5">
        <v>11082</v>
      </c>
      <c r="C16" s="5" t="s">
        <v>24</v>
      </c>
      <c r="D16" s="5">
        <v>789</v>
      </c>
      <c r="E16" s="5">
        <v>2</v>
      </c>
      <c r="F16" s="5">
        <v>4</v>
      </c>
      <c r="G16" s="14">
        <v>33821</v>
      </c>
      <c r="H16" s="5">
        <v>729265</v>
      </c>
      <c r="I16" s="5" t="s">
        <v>10</v>
      </c>
    </row>
    <row r="17" spans="1:9" x14ac:dyDescent="0.4">
      <c r="A17" s="14">
        <v>43837</v>
      </c>
      <c r="B17" s="5">
        <v>23890</v>
      </c>
      <c r="C17" s="5" t="s">
        <v>25</v>
      </c>
      <c r="D17" s="5">
        <v>800</v>
      </c>
      <c r="E17" s="5">
        <v>1</v>
      </c>
      <c r="F17" s="5">
        <v>3</v>
      </c>
      <c r="G17" s="14">
        <v>33954</v>
      </c>
      <c r="H17" s="5">
        <v>689012</v>
      </c>
      <c r="I17" s="5" t="s">
        <v>17</v>
      </c>
    </row>
    <row r="18" spans="1:9" x14ac:dyDescent="0.4">
      <c r="A18" s="14">
        <v>43985</v>
      </c>
      <c r="B18" s="5">
        <v>60179</v>
      </c>
      <c r="C18" s="5" t="s">
        <v>20</v>
      </c>
      <c r="D18" s="5">
        <v>799</v>
      </c>
      <c r="E18" s="5">
        <v>5</v>
      </c>
      <c r="F18" s="5">
        <v>1</v>
      </c>
      <c r="G18" s="14">
        <v>33634</v>
      </c>
      <c r="H18" s="5">
        <v>520227</v>
      </c>
      <c r="I18" s="5" t="s">
        <v>10</v>
      </c>
    </row>
    <row r="19" spans="1:9" x14ac:dyDescent="0.4">
      <c r="A19" s="14">
        <v>43934</v>
      </c>
      <c r="B19" s="5">
        <v>99876</v>
      </c>
      <c r="C19" s="5" t="s">
        <v>15</v>
      </c>
      <c r="D19" s="5">
        <v>734</v>
      </c>
      <c r="E19" s="5">
        <v>2</v>
      </c>
      <c r="F19" s="5">
        <v>9</v>
      </c>
      <c r="G19" s="14">
        <v>29273</v>
      </c>
      <c r="H19" s="5">
        <v>751406</v>
      </c>
      <c r="I19" s="5" t="s">
        <v>17</v>
      </c>
    </row>
    <row r="20" spans="1:9" x14ac:dyDescent="0.4">
      <c r="A20" s="14">
        <v>44058</v>
      </c>
      <c r="B20" s="5">
        <v>35086</v>
      </c>
      <c r="C20" s="5" t="s">
        <v>26</v>
      </c>
      <c r="D20" s="5">
        <v>745</v>
      </c>
      <c r="E20" s="5">
        <v>5</v>
      </c>
      <c r="F20" s="5">
        <v>7</v>
      </c>
      <c r="G20" s="14">
        <v>33462</v>
      </c>
      <c r="H20" s="5">
        <v>960724</v>
      </c>
      <c r="I20" s="5" t="s">
        <v>17</v>
      </c>
    </row>
    <row r="21" spans="1:9" x14ac:dyDescent="0.4">
      <c r="A21" s="14">
        <v>43962</v>
      </c>
      <c r="B21" s="5">
        <v>45939</v>
      </c>
      <c r="C21" s="5" t="s">
        <v>24</v>
      </c>
      <c r="D21" s="5">
        <v>700</v>
      </c>
      <c r="E21" s="5">
        <v>3</v>
      </c>
      <c r="F21" s="5">
        <v>6</v>
      </c>
      <c r="G21" s="14">
        <v>32406</v>
      </c>
      <c r="H21" s="5">
        <v>593047</v>
      </c>
      <c r="I21" s="5" t="s">
        <v>17</v>
      </c>
    </row>
    <row r="22" spans="1:9" x14ac:dyDescent="0.4">
      <c r="A22" s="14">
        <v>43868</v>
      </c>
      <c r="B22" s="5">
        <v>43592</v>
      </c>
      <c r="C22" s="5" t="s">
        <v>18</v>
      </c>
      <c r="D22" s="5">
        <v>731</v>
      </c>
      <c r="E22" s="5">
        <v>5</v>
      </c>
      <c r="F22" s="5">
        <v>5</v>
      </c>
      <c r="G22" s="14">
        <v>33024</v>
      </c>
      <c r="H22" s="5">
        <v>712524</v>
      </c>
      <c r="I22" s="5" t="s">
        <v>17</v>
      </c>
    </row>
    <row r="23" spans="1:9" x14ac:dyDescent="0.4">
      <c r="A23" s="14">
        <v>43892</v>
      </c>
      <c r="B23" s="5">
        <v>77140</v>
      </c>
      <c r="C23" s="5" t="s">
        <v>19</v>
      </c>
      <c r="D23" s="5">
        <v>783</v>
      </c>
      <c r="E23" s="5">
        <v>3</v>
      </c>
      <c r="F23" s="5">
        <v>7</v>
      </c>
      <c r="G23" s="14">
        <v>30881</v>
      </c>
      <c r="H23" s="5">
        <v>562825</v>
      </c>
      <c r="I23" s="5" t="s">
        <v>14</v>
      </c>
    </row>
    <row r="24" spans="1:9" x14ac:dyDescent="0.4">
      <c r="A24" s="14">
        <v>44042</v>
      </c>
      <c r="B24" s="5">
        <v>67126</v>
      </c>
      <c r="C24" s="5" t="s">
        <v>12</v>
      </c>
      <c r="D24" s="5">
        <v>787</v>
      </c>
      <c r="E24" s="5">
        <v>1</v>
      </c>
      <c r="F24" s="5">
        <v>10</v>
      </c>
      <c r="G24" s="14">
        <v>31884</v>
      </c>
      <c r="H24" s="5">
        <v>625401</v>
      </c>
      <c r="I24" s="5" t="s">
        <v>14</v>
      </c>
    </row>
    <row r="25" spans="1:9" x14ac:dyDescent="0.4">
      <c r="A25" s="14">
        <v>43947</v>
      </c>
      <c r="B25" s="5">
        <v>19794</v>
      </c>
      <c r="C25" s="5" t="s">
        <v>27</v>
      </c>
      <c r="D25" s="5">
        <v>726</v>
      </c>
      <c r="E25" s="5">
        <v>1</v>
      </c>
      <c r="F25" s="5">
        <v>2</v>
      </c>
      <c r="G25" s="14">
        <v>31398</v>
      </c>
      <c r="H25" s="5">
        <v>850151</v>
      </c>
      <c r="I25" s="5" t="s">
        <v>17</v>
      </c>
    </row>
    <row r="26" spans="1:9" x14ac:dyDescent="0.4">
      <c r="A26" s="14">
        <v>44081</v>
      </c>
      <c r="B26" s="5">
        <v>65225</v>
      </c>
      <c r="C26" s="5" t="s">
        <v>21</v>
      </c>
      <c r="D26" s="5">
        <v>733</v>
      </c>
      <c r="E26" s="5">
        <v>2</v>
      </c>
      <c r="F26" s="5">
        <v>6</v>
      </c>
      <c r="G26" s="14">
        <v>29519</v>
      </c>
      <c r="H26" s="5">
        <v>944492</v>
      </c>
      <c r="I26" s="5" t="s">
        <v>10</v>
      </c>
    </row>
    <row r="27" spans="1:9" x14ac:dyDescent="0.4">
      <c r="A27" s="14">
        <v>44132</v>
      </c>
      <c r="B27" s="5">
        <v>94260</v>
      </c>
      <c r="C27" s="5" t="s">
        <v>24</v>
      </c>
      <c r="D27" s="5">
        <v>752</v>
      </c>
      <c r="E27" s="5">
        <v>3</v>
      </c>
      <c r="F27" s="5">
        <v>7</v>
      </c>
      <c r="G27" s="14">
        <v>33007</v>
      </c>
      <c r="H27" s="5">
        <v>780278</v>
      </c>
      <c r="I27" s="5" t="s">
        <v>17</v>
      </c>
    </row>
    <row r="28" spans="1:9" x14ac:dyDescent="0.4">
      <c r="A28" s="14">
        <v>44145</v>
      </c>
      <c r="B28" s="5">
        <v>53504</v>
      </c>
      <c r="C28" s="5" t="s">
        <v>28</v>
      </c>
      <c r="D28" s="5">
        <v>721</v>
      </c>
      <c r="E28" s="5">
        <v>3</v>
      </c>
      <c r="F28" s="5">
        <v>3</v>
      </c>
      <c r="G28" s="14">
        <v>34483</v>
      </c>
      <c r="H28" s="5">
        <v>543448</v>
      </c>
      <c r="I28" s="5" t="s">
        <v>14</v>
      </c>
    </row>
    <row r="29" spans="1:9" x14ac:dyDescent="0.4">
      <c r="A29" s="14">
        <v>43833</v>
      </c>
      <c r="B29" s="5">
        <v>44329</v>
      </c>
      <c r="C29" s="5" t="s">
        <v>29</v>
      </c>
      <c r="D29" s="5">
        <v>713</v>
      </c>
      <c r="E29" s="5">
        <v>5</v>
      </c>
      <c r="F29" s="5">
        <v>7</v>
      </c>
      <c r="G29" s="14">
        <v>29275</v>
      </c>
      <c r="H29" s="5">
        <v>939519</v>
      </c>
      <c r="I29" s="5" t="s">
        <v>17</v>
      </c>
    </row>
    <row r="30" spans="1:9" x14ac:dyDescent="0.4">
      <c r="A30" s="14">
        <v>44135</v>
      </c>
      <c r="B30" s="5">
        <v>45312</v>
      </c>
      <c r="C30" s="5" t="s">
        <v>29</v>
      </c>
      <c r="D30" s="5">
        <v>753</v>
      </c>
      <c r="E30" s="5">
        <v>2</v>
      </c>
      <c r="F30" s="5">
        <v>6</v>
      </c>
      <c r="G30" s="14">
        <v>31553</v>
      </c>
      <c r="H30" s="5">
        <v>709857</v>
      </c>
      <c r="I30" s="5" t="s">
        <v>10</v>
      </c>
    </row>
    <row r="31" spans="1:9" x14ac:dyDescent="0.4">
      <c r="A31" s="14">
        <v>43959</v>
      </c>
      <c r="B31" s="5">
        <v>67449</v>
      </c>
      <c r="C31" s="5" t="s">
        <v>25</v>
      </c>
      <c r="D31" s="5">
        <v>739</v>
      </c>
      <c r="E31" s="5">
        <v>3</v>
      </c>
      <c r="F31" s="5">
        <v>8</v>
      </c>
      <c r="G31" s="14">
        <v>31486</v>
      </c>
      <c r="H31" s="5">
        <v>531838</v>
      </c>
      <c r="I31" s="5" t="s">
        <v>14</v>
      </c>
    </row>
    <row r="32" spans="1:9" x14ac:dyDescent="0.4">
      <c r="A32" s="14">
        <v>43894</v>
      </c>
      <c r="B32" s="5">
        <v>17977</v>
      </c>
      <c r="C32" s="5" t="s">
        <v>18</v>
      </c>
      <c r="D32" s="5">
        <v>735</v>
      </c>
      <c r="E32" s="5">
        <v>2</v>
      </c>
      <c r="F32" s="5">
        <v>2</v>
      </c>
      <c r="G32" s="14">
        <v>34643</v>
      </c>
      <c r="H32" s="5">
        <v>653325</v>
      </c>
      <c r="I32" s="5" t="s">
        <v>14</v>
      </c>
    </row>
    <row r="33" spans="1:9" x14ac:dyDescent="0.4">
      <c r="A33" s="14">
        <v>43929</v>
      </c>
      <c r="B33" s="5">
        <v>89671</v>
      </c>
      <c r="C33" s="5" t="s">
        <v>22</v>
      </c>
      <c r="D33" s="5">
        <v>728</v>
      </c>
      <c r="E33" s="5">
        <v>1</v>
      </c>
      <c r="F33" s="5">
        <v>6</v>
      </c>
      <c r="G33" s="14">
        <v>30642</v>
      </c>
      <c r="H33" s="5">
        <v>818354</v>
      </c>
      <c r="I33" s="5" t="s">
        <v>14</v>
      </c>
    </row>
    <row r="34" spans="1:9" x14ac:dyDescent="0.4">
      <c r="A34" s="14">
        <v>44175</v>
      </c>
      <c r="B34" s="5">
        <v>38589</v>
      </c>
      <c r="C34" s="5" t="s">
        <v>11</v>
      </c>
      <c r="D34" s="5">
        <v>779</v>
      </c>
      <c r="E34" s="5">
        <v>4</v>
      </c>
      <c r="F34" s="5">
        <v>10</v>
      </c>
      <c r="G34" s="14">
        <v>30550</v>
      </c>
      <c r="H34" s="5">
        <v>614492</v>
      </c>
      <c r="I34" s="5" t="s">
        <v>10</v>
      </c>
    </row>
    <row r="35" spans="1:9" x14ac:dyDescent="0.4">
      <c r="A35" s="14">
        <v>44135</v>
      </c>
      <c r="B35" s="5">
        <v>16060</v>
      </c>
      <c r="C35" s="5" t="s">
        <v>29</v>
      </c>
      <c r="D35" s="5">
        <v>751</v>
      </c>
      <c r="E35" s="5">
        <v>3</v>
      </c>
      <c r="F35" s="5">
        <v>3</v>
      </c>
      <c r="G35" s="14">
        <v>32598</v>
      </c>
      <c r="H35" s="5">
        <v>983519</v>
      </c>
      <c r="I35" s="5" t="s">
        <v>10</v>
      </c>
    </row>
    <row r="36" spans="1:9" x14ac:dyDescent="0.4">
      <c r="A36" s="14">
        <v>43868</v>
      </c>
      <c r="B36" s="5">
        <v>86698</v>
      </c>
      <c r="C36" s="5" t="s">
        <v>20</v>
      </c>
      <c r="D36" s="5">
        <v>739</v>
      </c>
      <c r="E36" s="5">
        <v>2</v>
      </c>
      <c r="F36" s="5">
        <v>3</v>
      </c>
      <c r="G36" s="14">
        <v>31425</v>
      </c>
      <c r="H36" s="5">
        <v>961148</v>
      </c>
      <c r="I36" s="5" t="s">
        <v>10</v>
      </c>
    </row>
    <row r="37" spans="1:9" x14ac:dyDescent="0.4">
      <c r="A37" s="14">
        <v>43857</v>
      </c>
      <c r="B37" s="5">
        <v>83729</v>
      </c>
      <c r="C37" s="5" t="s">
        <v>25</v>
      </c>
      <c r="D37" s="5">
        <v>797</v>
      </c>
      <c r="E37" s="5">
        <v>2</v>
      </c>
      <c r="F37" s="5">
        <v>2</v>
      </c>
      <c r="G37" s="14">
        <v>32826</v>
      </c>
      <c r="H37" s="5">
        <v>734953</v>
      </c>
      <c r="I37" s="5" t="s">
        <v>14</v>
      </c>
    </row>
    <row r="38" spans="1:9" x14ac:dyDescent="0.4">
      <c r="A38" s="14">
        <v>44119</v>
      </c>
      <c r="B38" s="5">
        <v>69797</v>
      </c>
      <c r="C38" s="5" t="s">
        <v>22</v>
      </c>
      <c r="D38" s="5">
        <v>763</v>
      </c>
      <c r="E38" s="5">
        <v>5</v>
      </c>
      <c r="F38" s="5">
        <v>10</v>
      </c>
      <c r="G38" s="14">
        <v>31945</v>
      </c>
      <c r="H38" s="5">
        <v>577102</v>
      </c>
      <c r="I38" s="5" t="s">
        <v>17</v>
      </c>
    </row>
    <row r="39" spans="1:9" x14ac:dyDescent="0.4">
      <c r="A39" s="14">
        <v>44123</v>
      </c>
      <c r="B39" s="5">
        <v>93072</v>
      </c>
      <c r="C39" s="5" t="s">
        <v>21</v>
      </c>
      <c r="D39" s="5">
        <v>706</v>
      </c>
      <c r="E39" s="5">
        <v>3</v>
      </c>
      <c r="F39" s="5">
        <v>10</v>
      </c>
      <c r="G39" s="14">
        <v>33438</v>
      </c>
      <c r="H39" s="5">
        <v>847226</v>
      </c>
      <c r="I39" s="5" t="s">
        <v>10</v>
      </c>
    </row>
    <row r="40" spans="1:9" x14ac:dyDescent="0.4">
      <c r="A40" s="14">
        <v>44022</v>
      </c>
      <c r="B40" s="5">
        <v>78383</v>
      </c>
      <c r="C40" s="5" t="s">
        <v>15</v>
      </c>
      <c r="D40" s="5">
        <v>743</v>
      </c>
      <c r="E40" s="5">
        <v>4</v>
      </c>
      <c r="F40" s="5">
        <v>8</v>
      </c>
      <c r="G40" s="14">
        <v>34559</v>
      </c>
      <c r="H40" s="5">
        <v>580035</v>
      </c>
      <c r="I40" s="5" t="s">
        <v>17</v>
      </c>
    </row>
    <row r="41" spans="1:9" x14ac:dyDescent="0.4">
      <c r="A41" s="14">
        <v>44156</v>
      </c>
      <c r="B41" s="5">
        <v>68415</v>
      </c>
      <c r="C41" s="5" t="s">
        <v>30</v>
      </c>
      <c r="D41" s="5">
        <v>709</v>
      </c>
      <c r="E41" s="5">
        <v>4</v>
      </c>
      <c r="F41" s="5">
        <v>3</v>
      </c>
      <c r="G41" s="14">
        <v>32928</v>
      </c>
      <c r="H41" s="5">
        <v>749893</v>
      </c>
      <c r="I41" s="5" t="s">
        <v>17</v>
      </c>
    </row>
    <row r="42" spans="1:9" x14ac:dyDescent="0.4">
      <c r="A42" s="14">
        <v>43836</v>
      </c>
      <c r="B42" s="5">
        <v>52910</v>
      </c>
      <c r="C42" s="5" t="s">
        <v>31</v>
      </c>
      <c r="D42" s="5">
        <v>732</v>
      </c>
      <c r="E42" s="5">
        <v>1</v>
      </c>
      <c r="F42" s="5">
        <v>7</v>
      </c>
      <c r="G42" s="14">
        <v>31657</v>
      </c>
      <c r="H42" s="5">
        <v>664298</v>
      </c>
      <c r="I42" s="5" t="s">
        <v>17</v>
      </c>
    </row>
    <row r="43" spans="1:9" x14ac:dyDescent="0.4">
      <c r="A43" s="14">
        <v>43904</v>
      </c>
      <c r="B43" s="5">
        <v>20581</v>
      </c>
      <c r="C43" s="5" t="s">
        <v>29</v>
      </c>
      <c r="D43" s="5">
        <v>720</v>
      </c>
      <c r="E43" s="5">
        <v>5</v>
      </c>
      <c r="F43" s="5">
        <v>4</v>
      </c>
      <c r="G43" s="14">
        <v>34384</v>
      </c>
      <c r="H43" s="5">
        <v>530989</v>
      </c>
      <c r="I43" s="5" t="s">
        <v>10</v>
      </c>
    </row>
    <row r="44" spans="1:9" x14ac:dyDescent="0.4">
      <c r="A44" s="14">
        <v>44051</v>
      </c>
      <c r="B44" s="5">
        <v>30426</v>
      </c>
      <c r="C44" s="5" t="s">
        <v>30</v>
      </c>
      <c r="D44" s="5">
        <v>708</v>
      </c>
      <c r="E44" s="5">
        <v>3</v>
      </c>
      <c r="F44" s="5">
        <v>2</v>
      </c>
      <c r="G44" s="14">
        <v>30113</v>
      </c>
      <c r="H44" s="5">
        <v>592934</v>
      </c>
      <c r="I44" s="5" t="s">
        <v>10</v>
      </c>
    </row>
    <row r="45" spans="1:9" x14ac:dyDescent="0.4">
      <c r="A45" s="14">
        <v>43849</v>
      </c>
      <c r="B45" s="5">
        <v>49292</v>
      </c>
      <c r="C45" s="5" t="s">
        <v>20</v>
      </c>
      <c r="D45" s="5">
        <v>780</v>
      </c>
      <c r="E45" s="5">
        <v>5</v>
      </c>
      <c r="F45" s="5">
        <v>8</v>
      </c>
      <c r="G45" s="14">
        <v>29311</v>
      </c>
      <c r="H45" s="5">
        <v>977284</v>
      </c>
      <c r="I45" s="5" t="s">
        <v>10</v>
      </c>
    </row>
    <row r="46" spans="1:9" x14ac:dyDescent="0.4">
      <c r="A46" s="14">
        <v>44079</v>
      </c>
      <c r="B46" s="5">
        <v>94448</v>
      </c>
      <c r="C46" s="5" t="s">
        <v>21</v>
      </c>
      <c r="D46" s="5">
        <v>745</v>
      </c>
      <c r="E46" s="5">
        <v>2</v>
      </c>
      <c r="F46" s="5">
        <v>7</v>
      </c>
      <c r="G46" s="14">
        <v>32022</v>
      </c>
      <c r="H46" s="5">
        <v>972108</v>
      </c>
      <c r="I46" s="5" t="s">
        <v>17</v>
      </c>
    </row>
    <row r="47" spans="1:9" x14ac:dyDescent="0.4">
      <c r="A47" s="14">
        <v>43890</v>
      </c>
      <c r="B47" s="5">
        <v>22500</v>
      </c>
      <c r="C47" s="5" t="s">
        <v>20</v>
      </c>
      <c r="D47" s="5">
        <v>770</v>
      </c>
      <c r="E47" s="5">
        <v>2</v>
      </c>
      <c r="F47" s="5">
        <v>2</v>
      </c>
      <c r="G47" s="14">
        <v>31000</v>
      </c>
      <c r="H47" s="5">
        <v>825108</v>
      </c>
      <c r="I47" s="5" t="s">
        <v>14</v>
      </c>
    </row>
    <row r="48" spans="1:9" x14ac:dyDescent="0.4">
      <c r="A48" s="14">
        <v>44075</v>
      </c>
      <c r="B48" s="5">
        <v>47899</v>
      </c>
      <c r="C48" s="5" t="s">
        <v>22</v>
      </c>
      <c r="D48" s="5">
        <v>730</v>
      </c>
      <c r="E48" s="5">
        <v>3</v>
      </c>
      <c r="F48" s="5">
        <v>7</v>
      </c>
      <c r="G48" s="14">
        <v>33994</v>
      </c>
      <c r="H48" s="5">
        <v>987840</v>
      </c>
      <c r="I48" s="5" t="s">
        <v>10</v>
      </c>
    </row>
    <row r="49" spans="1:9" x14ac:dyDescent="0.4">
      <c r="A49" s="14">
        <v>43935</v>
      </c>
      <c r="B49" s="5">
        <v>75076</v>
      </c>
      <c r="C49" s="5" t="s">
        <v>31</v>
      </c>
      <c r="D49" s="5">
        <v>784</v>
      </c>
      <c r="E49" s="5">
        <v>2</v>
      </c>
      <c r="F49" s="5">
        <v>4</v>
      </c>
      <c r="G49" s="14">
        <v>34028</v>
      </c>
      <c r="H49" s="5">
        <v>663661</v>
      </c>
      <c r="I49" s="5" t="s">
        <v>17</v>
      </c>
    </row>
    <row r="50" spans="1:9" x14ac:dyDescent="0.4">
      <c r="A50" s="14">
        <v>43883</v>
      </c>
      <c r="B50" s="5">
        <v>56315</v>
      </c>
      <c r="C50" s="5" t="s">
        <v>9</v>
      </c>
      <c r="D50" s="5">
        <v>764</v>
      </c>
      <c r="E50" s="5">
        <v>4</v>
      </c>
      <c r="F50" s="5">
        <v>9</v>
      </c>
      <c r="G50" s="14">
        <v>29235</v>
      </c>
      <c r="H50" s="5">
        <v>777563</v>
      </c>
      <c r="I50" s="5" t="s">
        <v>14</v>
      </c>
    </row>
    <row r="51" spans="1:9" x14ac:dyDescent="0.4">
      <c r="A51" s="14">
        <v>43877</v>
      </c>
      <c r="B51" s="5">
        <v>92530</v>
      </c>
      <c r="C51" s="5" t="s">
        <v>9</v>
      </c>
      <c r="D51" s="5">
        <v>745</v>
      </c>
      <c r="E51" s="5">
        <v>5</v>
      </c>
      <c r="F51" s="5">
        <v>5</v>
      </c>
      <c r="G51" s="14">
        <v>32844</v>
      </c>
      <c r="H51" s="5">
        <v>707004</v>
      </c>
      <c r="I51" s="5" t="s">
        <v>17</v>
      </c>
    </row>
    <row r="52" spans="1:9" x14ac:dyDescent="0.4">
      <c r="A52" s="14">
        <v>44031</v>
      </c>
      <c r="B52" s="5">
        <v>57609</v>
      </c>
      <c r="C52" s="5" t="s">
        <v>22</v>
      </c>
      <c r="D52" s="5">
        <v>725</v>
      </c>
      <c r="E52" s="5">
        <v>2</v>
      </c>
      <c r="F52" s="5">
        <v>7</v>
      </c>
      <c r="G52" s="14">
        <v>30331</v>
      </c>
      <c r="H52" s="5">
        <v>631296</v>
      </c>
      <c r="I52" s="5" t="s">
        <v>17</v>
      </c>
    </row>
    <row r="53" spans="1:9" x14ac:dyDescent="0.4">
      <c r="A53" s="14">
        <v>44142</v>
      </c>
      <c r="B53" s="5">
        <v>27949</v>
      </c>
      <c r="C53" s="5" t="s">
        <v>13</v>
      </c>
      <c r="D53" s="5">
        <v>766</v>
      </c>
      <c r="E53" s="5">
        <v>3</v>
      </c>
      <c r="F53" s="5">
        <v>9</v>
      </c>
      <c r="G53" s="14">
        <v>32815</v>
      </c>
      <c r="H53" s="5">
        <v>839227</v>
      </c>
      <c r="I53" s="5" t="s">
        <v>14</v>
      </c>
    </row>
    <row r="54" spans="1:9" x14ac:dyDescent="0.4">
      <c r="A54" s="14">
        <v>44112</v>
      </c>
      <c r="B54" s="5">
        <v>40974</v>
      </c>
      <c r="C54" s="5" t="s">
        <v>26</v>
      </c>
      <c r="D54" s="5">
        <v>766</v>
      </c>
      <c r="E54" s="5">
        <v>3</v>
      </c>
      <c r="F54" s="5">
        <v>1</v>
      </c>
      <c r="G54" s="14">
        <v>33000</v>
      </c>
      <c r="H54" s="5">
        <v>824832</v>
      </c>
      <c r="I54" s="5" t="s">
        <v>17</v>
      </c>
    </row>
    <row r="55" spans="1:9" x14ac:dyDescent="0.4">
      <c r="A55" s="14">
        <v>43882</v>
      </c>
      <c r="B55" s="5">
        <v>13714</v>
      </c>
      <c r="C55" s="5" t="s">
        <v>32</v>
      </c>
      <c r="D55" s="5">
        <v>764</v>
      </c>
      <c r="E55" s="5">
        <v>1</v>
      </c>
      <c r="F55" s="5">
        <v>2</v>
      </c>
      <c r="G55" s="14">
        <v>29633</v>
      </c>
      <c r="H55" s="5">
        <v>723543</v>
      </c>
      <c r="I55" s="5" t="s">
        <v>17</v>
      </c>
    </row>
    <row r="56" spans="1:9" x14ac:dyDescent="0.4">
      <c r="A56" s="14">
        <v>43933</v>
      </c>
      <c r="B56" s="5">
        <v>97726</v>
      </c>
      <c r="C56" s="5" t="s">
        <v>33</v>
      </c>
      <c r="D56" s="5">
        <v>764</v>
      </c>
      <c r="E56" s="5">
        <v>5</v>
      </c>
      <c r="F56" s="5">
        <v>5</v>
      </c>
      <c r="G56" s="14">
        <v>34407</v>
      </c>
      <c r="H56" s="5">
        <v>590718</v>
      </c>
      <c r="I56" s="5" t="s">
        <v>10</v>
      </c>
    </row>
    <row r="57" spans="1:9" x14ac:dyDescent="0.4">
      <c r="A57" s="14">
        <v>44086</v>
      </c>
      <c r="B57" s="5">
        <v>47573</v>
      </c>
      <c r="C57" s="5" t="s">
        <v>34</v>
      </c>
      <c r="D57" s="5">
        <v>713</v>
      </c>
      <c r="E57" s="5">
        <v>5</v>
      </c>
      <c r="F57" s="5">
        <v>2</v>
      </c>
      <c r="G57" s="14">
        <v>33134</v>
      </c>
      <c r="H57" s="5">
        <v>594633</v>
      </c>
      <c r="I57" s="5" t="s">
        <v>17</v>
      </c>
    </row>
    <row r="58" spans="1:9" x14ac:dyDescent="0.4">
      <c r="A58" s="14">
        <v>43916</v>
      </c>
      <c r="B58" s="5">
        <v>74884</v>
      </c>
      <c r="C58" s="5" t="s">
        <v>9</v>
      </c>
      <c r="D58" s="5">
        <v>747</v>
      </c>
      <c r="E58" s="5">
        <v>3</v>
      </c>
      <c r="F58" s="5">
        <v>1</v>
      </c>
      <c r="G58" s="14">
        <v>32473</v>
      </c>
      <c r="H58" s="5">
        <v>593509</v>
      </c>
      <c r="I58" s="5" t="s">
        <v>14</v>
      </c>
    </row>
    <row r="59" spans="1:9" x14ac:dyDescent="0.4">
      <c r="A59" s="14">
        <v>43870</v>
      </c>
      <c r="B59" s="5">
        <v>76428</v>
      </c>
      <c r="C59" s="5" t="s">
        <v>31</v>
      </c>
      <c r="D59" s="5">
        <v>765</v>
      </c>
      <c r="E59" s="5">
        <v>5</v>
      </c>
      <c r="F59" s="5">
        <v>7</v>
      </c>
      <c r="G59" s="14">
        <v>29838</v>
      </c>
      <c r="H59" s="5">
        <v>783116</v>
      </c>
      <c r="I59" s="5" t="s">
        <v>17</v>
      </c>
    </row>
    <row r="60" spans="1:9" x14ac:dyDescent="0.4">
      <c r="A60" s="14">
        <v>44024</v>
      </c>
      <c r="B60" s="5">
        <v>50387</v>
      </c>
      <c r="C60" s="5" t="s">
        <v>13</v>
      </c>
      <c r="D60" s="5">
        <v>730</v>
      </c>
      <c r="E60" s="5">
        <v>3</v>
      </c>
      <c r="F60" s="5">
        <v>10</v>
      </c>
      <c r="G60" s="14">
        <v>31096</v>
      </c>
      <c r="H60" s="5">
        <v>529032</v>
      </c>
      <c r="I60" s="5" t="s">
        <v>14</v>
      </c>
    </row>
    <row r="61" spans="1:9" x14ac:dyDescent="0.4">
      <c r="A61" s="14">
        <v>44090</v>
      </c>
      <c r="B61" s="5">
        <v>12937</v>
      </c>
      <c r="C61" s="5" t="s">
        <v>24</v>
      </c>
      <c r="D61" s="5">
        <v>793</v>
      </c>
      <c r="E61" s="5">
        <v>4</v>
      </c>
      <c r="F61" s="5">
        <v>4</v>
      </c>
      <c r="G61" s="14">
        <v>29416</v>
      </c>
      <c r="H61" s="5">
        <v>872565</v>
      </c>
      <c r="I61" s="5" t="s">
        <v>10</v>
      </c>
    </row>
    <row r="62" spans="1:9" x14ac:dyDescent="0.4">
      <c r="A62" s="14">
        <v>44000</v>
      </c>
      <c r="B62" s="5">
        <v>15616</v>
      </c>
      <c r="C62" s="5" t="s">
        <v>28</v>
      </c>
      <c r="D62" s="5">
        <v>744</v>
      </c>
      <c r="E62" s="5">
        <v>4</v>
      </c>
      <c r="F62" s="5">
        <v>6</v>
      </c>
      <c r="G62" s="14">
        <v>31527</v>
      </c>
      <c r="H62" s="5">
        <v>920076</v>
      </c>
      <c r="I62" s="5" t="s">
        <v>14</v>
      </c>
    </row>
    <row r="63" spans="1:9" x14ac:dyDescent="0.4">
      <c r="A63" s="14">
        <v>43903</v>
      </c>
      <c r="B63" s="5">
        <v>72192</v>
      </c>
      <c r="C63" s="5" t="s">
        <v>26</v>
      </c>
      <c r="D63" s="5">
        <v>721</v>
      </c>
      <c r="E63" s="5">
        <v>4</v>
      </c>
      <c r="F63" s="5">
        <v>10</v>
      </c>
      <c r="G63" s="14">
        <v>30745</v>
      </c>
      <c r="H63" s="5">
        <v>550092</v>
      </c>
      <c r="I63" s="5" t="s">
        <v>14</v>
      </c>
    </row>
    <row r="64" spans="1:9" x14ac:dyDescent="0.4">
      <c r="A64" s="14">
        <v>43850</v>
      </c>
      <c r="B64" s="5">
        <v>49278</v>
      </c>
      <c r="C64" s="5" t="s">
        <v>11</v>
      </c>
      <c r="D64" s="5">
        <v>766</v>
      </c>
      <c r="E64" s="5">
        <v>4</v>
      </c>
      <c r="F64" s="5">
        <v>5</v>
      </c>
      <c r="G64" s="14">
        <v>32688</v>
      </c>
      <c r="H64" s="5">
        <v>930726</v>
      </c>
      <c r="I64" s="5" t="s">
        <v>14</v>
      </c>
    </row>
    <row r="65" spans="1:9" x14ac:dyDescent="0.4">
      <c r="A65" s="14">
        <v>43937</v>
      </c>
      <c r="B65" s="5">
        <v>11412</v>
      </c>
      <c r="C65" s="5" t="s">
        <v>34</v>
      </c>
      <c r="D65" s="5">
        <v>728</v>
      </c>
      <c r="E65" s="5">
        <v>2</v>
      </c>
      <c r="F65" s="5">
        <v>1</v>
      </c>
      <c r="G65" s="14">
        <v>33673</v>
      </c>
      <c r="H65" s="5">
        <v>991788</v>
      </c>
      <c r="I65" s="5" t="s">
        <v>17</v>
      </c>
    </row>
    <row r="66" spans="1:9" x14ac:dyDescent="0.4">
      <c r="A66" s="14">
        <v>43965</v>
      </c>
      <c r="B66" s="5">
        <v>20769</v>
      </c>
      <c r="C66" s="5" t="s">
        <v>19</v>
      </c>
      <c r="D66" s="5">
        <v>738</v>
      </c>
      <c r="E66" s="5">
        <v>1</v>
      </c>
      <c r="F66" s="5">
        <v>10</v>
      </c>
      <c r="G66" s="14">
        <v>29889</v>
      </c>
      <c r="H66" s="5">
        <v>976010</v>
      </c>
      <c r="I66" s="5" t="s">
        <v>14</v>
      </c>
    </row>
    <row r="67" spans="1:9" x14ac:dyDescent="0.4">
      <c r="A67" s="14">
        <v>44144</v>
      </c>
      <c r="B67" s="5">
        <v>74837</v>
      </c>
      <c r="C67" s="5" t="s">
        <v>20</v>
      </c>
      <c r="D67" s="5">
        <v>743</v>
      </c>
      <c r="E67" s="5">
        <v>4</v>
      </c>
      <c r="F67" s="5">
        <v>9</v>
      </c>
      <c r="G67" s="14">
        <v>30604</v>
      </c>
      <c r="H67" s="5">
        <v>902767</v>
      </c>
      <c r="I67" s="5" t="s">
        <v>17</v>
      </c>
    </row>
    <row r="68" spans="1:9" x14ac:dyDescent="0.4">
      <c r="A68" s="14">
        <v>43983</v>
      </c>
      <c r="B68" s="5">
        <v>58946</v>
      </c>
      <c r="C68" s="5" t="s">
        <v>32</v>
      </c>
      <c r="D68" s="5">
        <v>746</v>
      </c>
      <c r="E68" s="5">
        <v>1</v>
      </c>
      <c r="F68" s="5">
        <v>10</v>
      </c>
      <c r="G68" s="14">
        <v>34413</v>
      </c>
      <c r="H68" s="5">
        <v>608505</v>
      </c>
      <c r="I68" s="5" t="s">
        <v>14</v>
      </c>
    </row>
    <row r="69" spans="1:9" x14ac:dyDescent="0.4">
      <c r="A69" s="14">
        <v>44075</v>
      </c>
      <c r="B69" s="5">
        <v>55374</v>
      </c>
      <c r="C69" s="5" t="s">
        <v>22</v>
      </c>
      <c r="D69" s="5">
        <v>732</v>
      </c>
      <c r="E69" s="5">
        <v>5</v>
      </c>
      <c r="F69" s="5">
        <v>4</v>
      </c>
      <c r="G69" s="14">
        <v>30671</v>
      </c>
      <c r="H69" s="5">
        <v>628484</v>
      </c>
      <c r="I69" s="5" t="s">
        <v>17</v>
      </c>
    </row>
    <row r="70" spans="1:9" x14ac:dyDescent="0.4">
      <c r="A70" s="14">
        <v>43983</v>
      </c>
      <c r="B70" s="5">
        <v>86884</v>
      </c>
      <c r="C70" s="5" t="s">
        <v>25</v>
      </c>
      <c r="D70" s="5">
        <v>757</v>
      </c>
      <c r="E70" s="5">
        <v>4</v>
      </c>
      <c r="F70" s="5">
        <v>4</v>
      </c>
      <c r="G70" s="14">
        <v>29251</v>
      </c>
      <c r="H70" s="5">
        <v>768611</v>
      </c>
      <c r="I70" s="5" t="s">
        <v>17</v>
      </c>
    </row>
    <row r="71" spans="1:9" x14ac:dyDescent="0.4">
      <c r="A71" s="14">
        <v>43850</v>
      </c>
      <c r="B71" s="5">
        <v>77116</v>
      </c>
      <c r="C71" s="5" t="s">
        <v>24</v>
      </c>
      <c r="D71" s="5">
        <v>733</v>
      </c>
      <c r="E71" s="5">
        <v>5</v>
      </c>
      <c r="F71" s="5">
        <v>7</v>
      </c>
      <c r="G71" s="14">
        <v>31523</v>
      </c>
      <c r="H71" s="5">
        <v>931758</v>
      </c>
      <c r="I71" s="5" t="s">
        <v>10</v>
      </c>
    </row>
    <row r="72" spans="1:9" x14ac:dyDescent="0.4">
      <c r="A72" s="14">
        <v>43925</v>
      </c>
      <c r="B72" s="5">
        <v>54328</v>
      </c>
      <c r="C72" s="5" t="s">
        <v>21</v>
      </c>
      <c r="D72" s="5">
        <v>774</v>
      </c>
      <c r="E72" s="5">
        <v>1</v>
      </c>
      <c r="F72" s="5">
        <v>5</v>
      </c>
      <c r="G72" s="14">
        <v>33456</v>
      </c>
      <c r="H72" s="5">
        <v>768131</v>
      </c>
      <c r="I72" s="5" t="s">
        <v>17</v>
      </c>
    </row>
    <row r="73" spans="1:9" x14ac:dyDescent="0.4">
      <c r="A73" s="14">
        <v>43990</v>
      </c>
      <c r="B73" s="5">
        <v>63547</v>
      </c>
      <c r="C73" s="5" t="s">
        <v>23</v>
      </c>
      <c r="D73" s="5">
        <v>724</v>
      </c>
      <c r="E73" s="5">
        <v>5</v>
      </c>
      <c r="F73" s="5">
        <v>8</v>
      </c>
      <c r="G73" s="14">
        <v>29806</v>
      </c>
      <c r="H73" s="5">
        <v>512571</v>
      </c>
      <c r="I73" s="5" t="s">
        <v>14</v>
      </c>
    </row>
    <row r="74" spans="1:9" x14ac:dyDescent="0.4">
      <c r="A74" s="14">
        <v>44081</v>
      </c>
      <c r="B74" s="5">
        <v>56877</v>
      </c>
      <c r="C74" s="5" t="s">
        <v>32</v>
      </c>
      <c r="D74" s="5">
        <v>790</v>
      </c>
      <c r="E74" s="5">
        <v>5</v>
      </c>
      <c r="F74" s="5">
        <v>2</v>
      </c>
      <c r="G74" s="14">
        <v>33044</v>
      </c>
      <c r="H74" s="5">
        <v>512991</v>
      </c>
      <c r="I74" s="5" t="s">
        <v>14</v>
      </c>
    </row>
    <row r="75" spans="1:9" x14ac:dyDescent="0.4">
      <c r="A75" s="14">
        <v>44152</v>
      </c>
      <c r="B75" s="5">
        <v>66242</v>
      </c>
      <c r="C75" s="5" t="s">
        <v>34</v>
      </c>
      <c r="D75" s="5">
        <v>748</v>
      </c>
      <c r="E75" s="5">
        <v>3</v>
      </c>
      <c r="F75" s="5">
        <v>5</v>
      </c>
      <c r="G75" s="14">
        <v>31861</v>
      </c>
      <c r="H75" s="5">
        <v>601028</v>
      </c>
      <c r="I75" s="5" t="s">
        <v>10</v>
      </c>
    </row>
    <row r="76" spans="1:9" x14ac:dyDescent="0.4">
      <c r="A76" s="14">
        <v>43868</v>
      </c>
      <c r="B76" s="5">
        <v>74992</v>
      </c>
      <c r="C76" s="5" t="s">
        <v>27</v>
      </c>
      <c r="D76" s="5">
        <v>731</v>
      </c>
      <c r="E76" s="5">
        <v>1</v>
      </c>
      <c r="F76" s="5">
        <v>5</v>
      </c>
      <c r="G76" s="14">
        <v>29558</v>
      </c>
      <c r="H76" s="5">
        <v>558284</v>
      </c>
      <c r="I76" s="5" t="s">
        <v>14</v>
      </c>
    </row>
    <row r="77" spans="1:9" x14ac:dyDescent="0.4">
      <c r="A77" s="14">
        <v>43879</v>
      </c>
      <c r="B77" s="5">
        <v>48915</v>
      </c>
      <c r="C77" s="5" t="s">
        <v>28</v>
      </c>
      <c r="D77" s="5">
        <v>773</v>
      </c>
      <c r="E77" s="5">
        <v>4</v>
      </c>
      <c r="F77" s="5">
        <v>3</v>
      </c>
      <c r="G77" s="14">
        <v>33453</v>
      </c>
      <c r="H77" s="5">
        <v>597560</v>
      </c>
      <c r="I77" s="5" t="s">
        <v>17</v>
      </c>
    </row>
    <row r="78" spans="1:9" x14ac:dyDescent="0.4">
      <c r="A78" s="14">
        <v>44100</v>
      </c>
      <c r="B78" s="5">
        <v>83579</v>
      </c>
      <c r="C78" s="5" t="s">
        <v>18</v>
      </c>
      <c r="D78" s="5">
        <v>734</v>
      </c>
      <c r="E78" s="5">
        <v>2</v>
      </c>
      <c r="F78" s="5">
        <v>5</v>
      </c>
      <c r="G78" s="14">
        <v>30420</v>
      </c>
      <c r="H78" s="5">
        <v>619497</v>
      </c>
      <c r="I78" s="5" t="s">
        <v>17</v>
      </c>
    </row>
    <row r="79" spans="1:9" x14ac:dyDescent="0.4">
      <c r="A79" s="14">
        <v>44088</v>
      </c>
      <c r="B79" s="5">
        <v>48472</v>
      </c>
      <c r="C79" s="5" t="s">
        <v>34</v>
      </c>
      <c r="D79" s="5">
        <v>771</v>
      </c>
      <c r="E79" s="5">
        <v>1</v>
      </c>
      <c r="F79" s="5">
        <v>10</v>
      </c>
      <c r="G79" s="14">
        <v>33113</v>
      </c>
      <c r="H79" s="5">
        <v>662102</v>
      </c>
      <c r="I79" s="5" t="s">
        <v>17</v>
      </c>
    </row>
    <row r="80" spans="1:9" x14ac:dyDescent="0.4">
      <c r="A80" s="14">
        <v>44046</v>
      </c>
      <c r="B80" s="5">
        <v>19947</v>
      </c>
      <c r="C80" s="5" t="s">
        <v>33</v>
      </c>
      <c r="D80" s="5">
        <v>746</v>
      </c>
      <c r="E80" s="5">
        <v>2</v>
      </c>
      <c r="F80" s="5">
        <v>9</v>
      </c>
      <c r="G80" s="14">
        <v>30024</v>
      </c>
      <c r="H80" s="5">
        <v>709243</v>
      </c>
      <c r="I80" s="5" t="s">
        <v>10</v>
      </c>
    </row>
    <row r="81" spans="1:9" x14ac:dyDescent="0.4">
      <c r="A81" s="14">
        <v>43872</v>
      </c>
      <c r="B81" s="5">
        <v>10383</v>
      </c>
      <c r="C81" s="5" t="s">
        <v>25</v>
      </c>
      <c r="D81" s="5">
        <v>716</v>
      </c>
      <c r="E81" s="5">
        <v>1</v>
      </c>
      <c r="F81" s="5">
        <v>2</v>
      </c>
      <c r="G81" s="14">
        <v>30121</v>
      </c>
      <c r="H81" s="5">
        <v>877440</v>
      </c>
      <c r="I81" s="5" t="s">
        <v>14</v>
      </c>
    </row>
    <row r="82" spans="1:9" x14ac:dyDescent="0.4">
      <c r="A82" s="14">
        <v>43880</v>
      </c>
      <c r="B82" s="5">
        <v>62651</v>
      </c>
      <c r="C82" s="5" t="s">
        <v>13</v>
      </c>
      <c r="D82" s="5">
        <v>764</v>
      </c>
      <c r="E82" s="5">
        <v>1</v>
      </c>
      <c r="F82" s="5">
        <v>4</v>
      </c>
      <c r="G82" s="14">
        <v>33008</v>
      </c>
      <c r="H82" s="5">
        <v>647124</v>
      </c>
      <c r="I82" s="5" t="s">
        <v>17</v>
      </c>
    </row>
    <row r="83" spans="1:9" x14ac:dyDescent="0.4">
      <c r="A83" s="14">
        <v>44067</v>
      </c>
      <c r="B83" s="5">
        <v>55660</v>
      </c>
      <c r="C83" s="5" t="s">
        <v>19</v>
      </c>
      <c r="D83" s="5">
        <v>748</v>
      </c>
      <c r="E83" s="5">
        <v>3</v>
      </c>
      <c r="F83" s="5">
        <v>10</v>
      </c>
      <c r="G83" s="14">
        <v>32145</v>
      </c>
      <c r="H83" s="5">
        <v>664233</v>
      </c>
      <c r="I83" s="5" t="s">
        <v>17</v>
      </c>
    </row>
    <row r="84" spans="1:9" x14ac:dyDescent="0.4">
      <c r="A84" s="14">
        <v>43963</v>
      </c>
      <c r="B84" s="5">
        <v>89724</v>
      </c>
      <c r="C84" s="5" t="s">
        <v>26</v>
      </c>
      <c r="D84" s="5">
        <v>715</v>
      </c>
      <c r="E84" s="5">
        <v>2</v>
      </c>
      <c r="F84" s="5">
        <v>2</v>
      </c>
      <c r="G84" s="14">
        <v>29727</v>
      </c>
      <c r="H84" s="5">
        <v>846857</v>
      </c>
      <c r="I84" s="5" t="s">
        <v>17</v>
      </c>
    </row>
    <row r="85" spans="1:9" x14ac:dyDescent="0.4">
      <c r="A85" s="14">
        <v>43998</v>
      </c>
      <c r="B85" s="5">
        <v>69086</v>
      </c>
      <c r="C85" s="5" t="s">
        <v>24</v>
      </c>
      <c r="D85" s="5">
        <v>716</v>
      </c>
      <c r="E85" s="5">
        <v>2</v>
      </c>
      <c r="F85" s="5">
        <v>6</v>
      </c>
      <c r="G85" s="14">
        <v>29521</v>
      </c>
      <c r="H85" s="5">
        <v>901072</v>
      </c>
      <c r="I85" s="5" t="s">
        <v>14</v>
      </c>
    </row>
    <row r="86" spans="1:9" x14ac:dyDescent="0.4">
      <c r="A86" s="14">
        <v>44102</v>
      </c>
      <c r="B86" s="5">
        <v>69952</v>
      </c>
      <c r="C86" s="5" t="s">
        <v>18</v>
      </c>
      <c r="D86" s="5">
        <v>744</v>
      </c>
      <c r="E86" s="5">
        <v>4</v>
      </c>
      <c r="F86" s="5">
        <v>4</v>
      </c>
      <c r="G86" s="14">
        <v>29888</v>
      </c>
      <c r="H86" s="5">
        <v>545673</v>
      </c>
      <c r="I86" s="5" t="s">
        <v>14</v>
      </c>
    </row>
    <row r="87" spans="1:9" x14ac:dyDescent="0.4">
      <c r="A87" s="14">
        <v>44029</v>
      </c>
      <c r="B87" s="5">
        <v>45582</v>
      </c>
      <c r="C87" s="5" t="s">
        <v>33</v>
      </c>
      <c r="D87" s="5">
        <v>768</v>
      </c>
      <c r="E87" s="5">
        <v>1</v>
      </c>
      <c r="F87" s="5">
        <v>5</v>
      </c>
      <c r="G87" s="14">
        <v>30479</v>
      </c>
      <c r="H87" s="5">
        <v>845330</v>
      </c>
      <c r="I87" s="5" t="s">
        <v>10</v>
      </c>
    </row>
    <row r="88" spans="1:9" x14ac:dyDescent="0.4">
      <c r="A88" s="14">
        <v>43922</v>
      </c>
      <c r="B88" s="5">
        <v>17457</v>
      </c>
      <c r="C88" s="5" t="s">
        <v>20</v>
      </c>
      <c r="D88" s="5">
        <v>708</v>
      </c>
      <c r="E88" s="5">
        <v>4</v>
      </c>
      <c r="F88" s="5">
        <v>8</v>
      </c>
      <c r="G88" s="14">
        <v>30175</v>
      </c>
      <c r="H88" s="5">
        <v>958340</v>
      </c>
      <c r="I88" s="5" t="s">
        <v>14</v>
      </c>
    </row>
    <row r="89" spans="1:9" x14ac:dyDescent="0.4">
      <c r="A89" s="14">
        <v>43924</v>
      </c>
      <c r="B89" s="5">
        <v>56499</v>
      </c>
      <c r="C89" s="5" t="s">
        <v>11</v>
      </c>
      <c r="D89" s="5">
        <v>720</v>
      </c>
      <c r="E89" s="5">
        <v>3</v>
      </c>
      <c r="F89" s="5">
        <v>5</v>
      </c>
      <c r="G89" s="14">
        <v>33654</v>
      </c>
      <c r="H89" s="5">
        <v>528167</v>
      </c>
      <c r="I89" s="5" t="s">
        <v>14</v>
      </c>
    </row>
    <row r="90" spans="1:9" x14ac:dyDescent="0.4">
      <c r="A90" s="14">
        <v>43860</v>
      </c>
      <c r="B90" s="5">
        <v>88555</v>
      </c>
      <c r="C90" s="5" t="s">
        <v>15</v>
      </c>
      <c r="D90" s="5">
        <v>782</v>
      </c>
      <c r="E90" s="5">
        <v>4</v>
      </c>
      <c r="F90" s="5">
        <v>4</v>
      </c>
      <c r="G90" s="14">
        <v>33911</v>
      </c>
      <c r="H90" s="5">
        <v>994288</v>
      </c>
      <c r="I90" s="5" t="s">
        <v>17</v>
      </c>
    </row>
    <row r="91" spans="1:9" x14ac:dyDescent="0.4">
      <c r="A91" s="14">
        <v>44038</v>
      </c>
      <c r="B91" s="5">
        <v>59300</v>
      </c>
      <c r="C91" s="5" t="s">
        <v>11</v>
      </c>
      <c r="D91" s="5">
        <v>719</v>
      </c>
      <c r="E91" s="5">
        <v>5</v>
      </c>
      <c r="F91" s="5">
        <v>2</v>
      </c>
      <c r="G91" s="14">
        <v>34387</v>
      </c>
      <c r="H91" s="5">
        <v>748452</v>
      </c>
      <c r="I91" s="5" t="s">
        <v>10</v>
      </c>
    </row>
    <row r="92" spans="1:9" x14ac:dyDescent="0.4">
      <c r="A92" s="14">
        <v>43838</v>
      </c>
      <c r="B92" s="5">
        <v>32811</v>
      </c>
      <c r="C92" s="5" t="s">
        <v>20</v>
      </c>
      <c r="D92" s="5">
        <v>744</v>
      </c>
      <c r="E92" s="5">
        <v>1</v>
      </c>
      <c r="F92" s="5">
        <v>2</v>
      </c>
      <c r="G92" s="14">
        <v>32215</v>
      </c>
      <c r="H92" s="5">
        <v>810772</v>
      </c>
      <c r="I92" s="5" t="s">
        <v>10</v>
      </c>
    </row>
    <row r="93" spans="1:9" x14ac:dyDescent="0.4">
      <c r="A93" s="14">
        <v>43857</v>
      </c>
      <c r="B93" s="5">
        <v>57864</v>
      </c>
      <c r="C93" s="5" t="s">
        <v>27</v>
      </c>
      <c r="D93" s="5">
        <v>722</v>
      </c>
      <c r="E93" s="5">
        <v>2</v>
      </c>
      <c r="F93" s="5">
        <v>10</v>
      </c>
      <c r="G93" s="14">
        <v>31933</v>
      </c>
      <c r="H93" s="5">
        <v>869126</v>
      </c>
      <c r="I93" s="5" t="s">
        <v>14</v>
      </c>
    </row>
    <row r="94" spans="1:9" x14ac:dyDescent="0.4">
      <c r="A94" s="14">
        <v>44129</v>
      </c>
      <c r="B94" s="5">
        <v>42296</v>
      </c>
      <c r="C94" s="5" t="s">
        <v>30</v>
      </c>
      <c r="D94" s="5">
        <v>779</v>
      </c>
      <c r="E94" s="5">
        <v>4</v>
      </c>
      <c r="F94" s="5">
        <v>9</v>
      </c>
      <c r="G94" s="14">
        <v>34529</v>
      </c>
      <c r="H94" s="5">
        <v>949497</v>
      </c>
      <c r="I94" s="5" t="s">
        <v>14</v>
      </c>
    </row>
    <row r="95" spans="1:9" x14ac:dyDescent="0.4">
      <c r="A95" s="14">
        <v>43985</v>
      </c>
      <c r="B95" s="5">
        <v>36555</v>
      </c>
      <c r="C95" s="5" t="s">
        <v>31</v>
      </c>
      <c r="D95" s="5">
        <v>729</v>
      </c>
      <c r="E95" s="5">
        <v>4</v>
      </c>
      <c r="F95" s="5">
        <v>3</v>
      </c>
      <c r="G95" s="14">
        <v>31859</v>
      </c>
      <c r="H95" s="5">
        <v>532713</v>
      </c>
      <c r="I95" s="5" t="s">
        <v>17</v>
      </c>
    </row>
    <row r="96" spans="1:9" x14ac:dyDescent="0.4">
      <c r="A96" s="14">
        <v>44036</v>
      </c>
      <c r="B96" s="5">
        <v>54605</v>
      </c>
      <c r="C96" s="5" t="s">
        <v>25</v>
      </c>
      <c r="D96" s="5">
        <v>722</v>
      </c>
      <c r="E96" s="5">
        <v>1</v>
      </c>
      <c r="F96" s="5">
        <v>4</v>
      </c>
      <c r="G96" s="14">
        <v>29244</v>
      </c>
      <c r="H96" s="5">
        <v>535651</v>
      </c>
      <c r="I96" s="5" t="s">
        <v>10</v>
      </c>
    </row>
    <row r="97" spans="1:9" x14ac:dyDescent="0.4">
      <c r="A97" s="14">
        <v>44101</v>
      </c>
      <c r="B97" s="5">
        <v>49521</v>
      </c>
      <c r="C97" s="5" t="s">
        <v>21</v>
      </c>
      <c r="D97" s="5">
        <v>708</v>
      </c>
      <c r="E97" s="5">
        <v>5</v>
      </c>
      <c r="F97" s="5">
        <v>7</v>
      </c>
      <c r="G97" s="14">
        <v>33877</v>
      </c>
      <c r="H97" s="5">
        <v>884550</v>
      </c>
      <c r="I97" s="5" t="s">
        <v>14</v>
      </c>
    </row>
    <row r="98" spans="1:9" x14ac:dyDescent="0.4">
      <c r="A98" s="14">
        <v>43937</v>
      </c>
      <c r="B98" s="5">
        <v>54156</v>
      </c>
      <c r="C98" s="5" t="s">
        <v>22</v>
      </c>
      <c r="D98" s="5">
        <v>774</v>
      </c>
      <c r="E98" s="5">
        <v>5</v>
      </c>
      <c r="F98" s="5">
        <v>2</v>
      </c>
      <c r="G98" s="14">
        <v>29772</v>
      </c>
      <c r="H98" s="5">
        <v>513087</v>
      </c>
      <c r="I98" s="5" t="s">
        <v>17</v>
      </c>
    </row>
    <row r="99" spans="1:9" x14ac:dyDescent="0.4">
      <c r="A99" s="14">
        <v>44077</v>
      </c>
      <c r="B99" s="5">
        <v>10717</v>
      </c>
      <c r="C99" s="5" t="s">
        <v>9</v>
      </c>
      <c r="D99" s="5">
        <v>745</v>
      </c>
      <c r="E99" s="5">
        <v>5</v>
      </c>
      <c r="F99" s="5">
        <v>6</v>
      </c>
      <c r="G99" s="14">
        <v>32727</v>
      </c>
      <c r="H99" s="5">
        <v>690906</v>
      </c>
      <c r="I99" s="5" t="s">
        <v>17</v>
      </c>
    </row>
    <row r="100" spans="1:9" x14ac:dyDescent="0.4">
      <c r="A100" s="14">
        <v>43894</v>
      </c>
      <c r="B100" s="5">
        <v>97072</v>
      </c>
      <c r="C100" s="5" t="s">
        <v>28</v>
      </c>
      <c r="D100" s="5">
        <v>745</v>
      </c>
      <c r="E100" s="5">
        <v>4</v>
      </c>
      <c r="F100" s="5">
        <v>3</v>
      </c>
      <c r="G100" s="14">
        <v>29702</v>
      </c>
      <c r="H100" s="5">
        <v>636392</v>
      </c>
      <c r="I100" s="5" t="s">
        <v>14</v>
      </c>
    </row>
    <row r="101" spans="1:9" x14ac:dyDescent="0.4">
      <c r="A101" s="14">
        <v>44084</v>
      </c>
      <c r="B101" s="5">
        <v>46597</v>
      </c>
      <c r="C101" s="5" t="s">
        <v>30</v>
      </c>
      <c r="D101" s="5">
        <v>769</v>
      </c>
      <c r="E101" s="5">
        <v>1</v>
      </c>
      <c r="F101" s="5">
        <v>10</v>
      </c>
      <c r="G101" s="14">
        <v>34190</v>
      </c>
      <c r="H101" s="5">
        <v>965467</v>
      </c>
      <c r="I101" s="5" t="s">
        <v>14</v>
      </c>
    </row>
    <row r="102" spans="1:9" x14ac:dyDescent="0.4">
      <c r="A102" s="14">
        <v>43835</v>
      </c>
      <c r="B102" s="5">
        <v>66429</v>
      </c>
      <c r="C102" s="5" t="s">
        <v>29</v>
      </c>
      <c r="D102" s="5">
        <v>795</v>
      </c>
      <c r="E102" s="5">
        <v>4</v>
      </c>
      <c r="F102" s="5">
        <v>5</v>
      </c>
      <c r="G102" s="14">
        <v>33023</v>
      </c>
      <c r="H102" s="5">
        <v>818286</v>
      </c>
      <c r="I102" s="5" t="s">
        <v>10</v>
      </c>
    </row>
    <row r="103" spans="1:9" x14ac:dyDescent="0.4">
      <c r="A103" s="14">
        <v>44030</v>
      </c>
      <c r="B103" s="5">
        <v>28804</v>
      </c>
      <c r="C103" s="5" t="s">
        <v>26</v>
      </c>
      <c r="D103" s="5">
        <v>706</v>
      </c>
      <c r="E103" s="5">
        <v>1</v>
      </c>
      <c r="F103" s="5">
        <v>6</v>
      </c>
      <c r="G103" s="14">
        <v>33747</v>
      </c>
      <c r="H103" s="5">
        <v>820800</v>
      </c>
      <c r="I103" s="5" t="s">
        <v>14</v>
      </c>
    </row>
    <row r="104" spans="1:9" x14ac:dyDescent="0.4">
      <c r="A104" s="14">
        <v>44018</v>
      </c>
      <c r="B104" s="5">
        <v>48253</v>
      </c>
      <c r="C104" s="5" t="s">
        <v>29</v>
      </c>
      <c r="D104" s="5">
        <v>761</v>
      </c>
      <c r="E104" s="5">
        <v>1</v>
      </c>
      <c r="F104" s="5">
        <v>6</v>
      </c>
      <c r="G104" s="14">
        <v>30938</v>
      </c>
      <c r="H104" s="5">
        <v>541102</v>
      </c>
      <c r="I104" s="5" t="s">
        <v>10</v>
      </c>
    </row>
    <row r="105" spans="1:9" x14ac:dyDescent="0.4">
      <c r="A105" s="14">
        <v>43958</v>
      </c>
      <c r="B105" s="5">
        <v>58888</v>
      </c>
      <c r="C105" s="5" t="s">
        <v>33</v>
      </c>
      <c r="D105" s="5">
        <v>753</v>
      </c>
      <c r="E105" s="5">
        <v>1</v>
      </c>
      <c r="F105" s="5">
        <v>1</v>
      </c>
      <c r="G105" s="14">
        <v>34191</v>
      </c>
      <c r="H105" s="5">
        <v>760241</v>
      </c>
      <c r="I105" s="5" t="s">
        <v>17</v>
      </c>
    </row>
    <row r="106" spans="1:9" x14ac:dyDescent="0.4">
      <c r="A106" s="14">
        <v>44014</v>
      </c>
      <c r="B106" s="5">
        <v>99278</v>
      </c>
      <c r="C106" s="5" t="s">
        <v>31</v>
      </c>
      <c r="D106" s="5">
        <v>771</v>
      </c>
      <c r="E106" s="5">
        <v>3</v>
      </c>
      <c r="F106" s="5">
        <v>3</v>
      </c>
      <c r="G106" s="14">
        <v>34279</v>
      </c>
      <c r="H106" s="5">
        <v>973518</v>
      </c>
      <c r="I106" s="5" t="s">
        <v>14</v>
      </c>
    </row>
    <row r="107" spans="1:9" x14ac:dyDescent="0.4">
      <c r="A107" s="14">
        <v>43959</v>
      </c>
      <c r="B107" s="5">
        <v>67882</v>
      </c>
      <c r="C107" s="5" t="s">
        <v>18</v>
      </c>
      <c r="D107" s="5">
        <v>762</v>
      </c>
      <c r="E107" s="5">
        <v>3</v>
      </c>
      <c r="F107" s="5">
        <v>6</v>
      </c>
      <c r="G107" s="14">
        <v>31350</v>
      </c>
      <c r="H107" s="5">
        <v>916078</v>
      </c>
      <c r="I107" s="5" t="s">
        <v>17</v>
      </c>
    </row>
    <row r="108" spans="1:9" x14ac:dyDescent="0.4">
      <c r="A108" s="14">
        <v>43968</v>
      </c>
      <c r="B108" s="5">
        <v>12249</v>
      </c>
      <c r="C108" s="5" t="s">
        <v>21</v>
      </c>
      <c r="D108" s="5">
        <v>722</v>
      </c>
      <c r="E108" s="5">
        <v>1</v>
      </c>
      <c r="F108" s="5">
        <v>4</v>
      </c>
      <c r="G108" s="14">
        <v>32123</v>
      </c>
      <c r="H108" s="5">
        <v>518896</v>
      </c>
      <c r="I108" s="5" t="s">
        <v>17</v>
      </c>
    </row>
    <row r="109" spans="1:9" x14ac:dyDescent="0.4">
      <c r="A109" s="14">
        <v>44051</v>
      </c>
      <c r="B109" s="5">
        <v>29846</v>
      </c>
      <c r="C109" s="5" t="s">
        <v>25</v>
      </c>
      <c r="D109" s="5">
        <v>771</v>
      </c>
      <c r="E109" s="5">
        <v>4</v>
      </c>
      <c r="F109" s="5">
        <v>8</v>
      </c>
      <c r="G109" s="14">
        <v>30954</v>
      </c>
      <c r="H109" s="5">
        <v>789241</v>
      </c>
      <c r="I109" s="5" t="s">
        <v>17</v>
      </c>
    </row>
    <row r="110" spans="1:9" x14ac:dyDescent="0.4">
      <c r="A110" s="14">
        <v>43889</v>
      </c>
      <c r="B110" s="5">
        <v>63308</v>
      </c>
      <c r="C110" s="5" t="s">
        <v>13</v>
      </c>
      <c r="D110" s="5">
        <v>784</v>
      </c>
      <c r="E110" s="5">
        <v>2</v>
      </c>
      <c r="F110" s="5">
        <v>1</v>
      </c>
      <c r="G110" s="14">
        <v>34072</v>
      </c>
      <c r="H110" s="5">
        <v>535794</v>
      </c>
      <c r="I110" s="5" t="s">
        <v>14</v>
      </c>
    </row>
    <row r="111" spans="1:9" x14ac:dyDescent="0.4">
      <c r="A111" s="14">
        <v>44168</v>
      </c>
      <c r="B111" s="5">
        <v>77364</v>
      </c>
      <c r="C111" s="5" t="s">
        <v>15</v>
      </c>
      <c r="D111" s="5">
        <v>700</v>
      </c>
      <c r="E111" s="5">
        <v>2</v>
      </c>
      <c r="F111" s="5">
        <v>5</v>
      </c>
      <c r="G111" s="14">
        <v>31611</v>
      </c>
      <c r="H111" s="5">
        <v>859981</v>
      </c>
      <c r="I111" s="5" t="s">
        <v>10</v>
      </c>
    </row>
    <row r="112" spans="1:9" x14ac:dyDescent="0.4">
      <c r="A112" s="14">
        <v>43927</v>
      </c>
      <c r="B112" s="5">
        <v>81750</v>
      </c>
      <c r="C112" s="5" t="s">
        <v>24</v>
      </c>
      <c r="D112" s="5">
        <v>741</v>
      </c>
      <c r="E112" s="5">
        <v>4</v>
      </c>
      <c r="F112" s="5">
        <v>2</v>
      </c>
      <c r="G112" s="14">
        <v>32323</v>
      </c>
      <c r="H112" s="5">
        <v>650549</v>
      </c>
      <c r="I112" s="5" t="s">
        <v>17</v>
      </c>
    </row>
    <row r="113" spans="1:9" x14ac:dyDescent="0.4">
      <c r="A113" s="14">
        <v>43899</v>
      </c>
      <c r="B113" s="5">
        <v>99508</v>
      </c>
      <c r="C113" s="5" t="s">
        <v>9</v>
      </c>
      <c r="D113" s="5">
        <v>727</v>
      </c>
      <c r="E113" s="5">
        <v>5</v>
      </c>
      <c r="F113" s="5">
        <v>6</v>
      </c>
      <c r="G113" s="14">
        <v>31257</v>
      </c>
      <c r="H113" s="5">
        <v>742478</v>
      </c>
      <c r="I113" s="5" t="s">
        <v>17</v>
      </c>
    </row>
    <row r="114" spans="1:9" x14ac:dyDescent="0.4">
      <c r="A114" s="14">
        <v>43834</v>
      </c>
      <c r="B114" s="5">
        <v>80762</v>
      </c>
      <c r="C114" s="5" t="s">
        <v>11</v>
      </c>
      <c r="D114" s="5">
        <v>721</v>
      </c>
      <c r="E114" s="5">
        <v>1</v>
      </c>
      <c r="F114" s="5">
        <v>9</v>
      </c>
      <c r="G114" s="14">
        <v>31810</v>
      </c>
      <c r="H114" s="5">
        <v>967982</v>
      </c>
      <c r="I114" s="5" t="s">
        <v>10</v>
      </c>
    </row>
    <row r="115" spans="1:9" x14ac:dyDescent="0.4">
      <c r="A115" s="14">
        <v>44126</v>
      </c>
      <c r="B115" s="5">
        <v>33666</v>
      </c>
      <c r="C115" s="5" t="s">
        <v>23</v>
      </c>
      <c r="D115" s="5">
        <v>720</v>
      </c>
      <c r="E115" s="5">
        <v>3</v>
      </c>
      <c r="F115" s="5">
        <v>3</v>
      </c>
      <c r="G115" s="14">
        <v>33294</v>
      </c>
      <c r="H115" s="5">
        <v>698801</v>
      </c>
      <c r="I115" s="5" t="s">
        <v>10</v>
      </c>
    </row>
    <row r="116" spans="1:9" x14ac:dyDescent="0.4">
      <c r="A116" s="14">
        <v>43875</v>
      </c>
      <c r="B116" s="5">
        <v>89694</v>
      </c>
      <c r="C116" s="5" t="s">
        <v>25</v>
      </c>
      <c r="D116" s="5">
        <v>744</v>
      </c>
      <c r="E116" s="5">
        <v>1</v>
      </c>
      <c r="F116" s="5">
        <v>6</v>
      </c>
      <c r="G116" s="14">
        <v>30337</v>
      </c>
      <c r="H116" s="5">
        <v>657372</v>
      </c>
      <c r="I116" s="5" t="s">
        <v>10</v>
      </c>
    </row>
    <row r="117" spans="1:9" x14ac:dyDescent="0.4">
      <c r="A117" s="14">
        <v>43952</v>
      </c>
      <c r="B117" s="5">
        <v>29920</v>
      </c>
      <c r="C117" s="5" t="s">
        <v>31</v>
      </c>
      <c r="D117" s="5">
        <v>741</v>
      </c>
      <c r="E117" s="5">
        <v>4</v>
      </c>
      <c r="F117" s="5">
        <v>5</v>
      </c>
      <c r="G117" s="14">
        <v>29945</v>
      </c>
      <c r="H117" s="5">
        <v>732457</v>
      </c>
      <c r="I117" s="5" t="s">
        <v>14</v>
      </c>
    </row>
    <row r="118" spans="1:9" x14ac:dyDescent="0.4">
      <c r="A118" s="14">
        <v>43844</v>
      </c>
      <c r="B118" s="5">
        <v>32451</v>
      </c>
      <c r="C118" s="5" t="s">
        <v>11</v>
      </c>
      <c r="D118" s="5">
        <v>733</v>
      </c>
      <c r="E118" s="5">
        <v>1</v>
      </c>
      <c r="F118" s="5">
        <v>5</v>
      </c>
      <c r="G118" s="14">
        <v>29411</v>
      </c>
      <c r="H118" s="5">
        <v>794281</v>
      </c>
      <c r="I118" s="5" t="s">
        <v>10</v>
      </c>
    </row>
    <row r="119" spans="1:9" x14ac:dyDescent="0.4">
      <c r="A119" s="14">
        <v>43948</v>
      </c>
      <c r="B119" s="5">
        <v>99963</v>
      </c>
      <c r="C119" s="5" t="s">
        <v>18</v>
      </c>
      <c r="D119" s="5">
        <v>794</v>
      </c>
      <c r="E119" s="5">
        <v>1</v>
      </c>
      <c r="F119" s="5">
        <v>5</v>
      </c>
      <c r="G119" s="14">
        <v>32368</v>
      </c>
      <c r="H119" s="5">
        <v>946851</v>
      </c>
      <c r="I119" s="5" t="s">
        <v>17</v>
      </c>
    </row>
    <row r="120" spans="1:9" x14ac:dyDescent="0.4">
      <c r="A120" s="14">
        <v>44147</v>
      </c>
      <c r="B120" s="5">
        <v>37171</v>
      </c>
      <c r="C120" s="5" t="s">
        <v>30</v>
      </c>
      <c r="D120" s="5">
        <v>765</v>
      </c>
      <c r="E120" s="5">
        <v>3</v>
      </c>
      <c r="F120" s="5">
        <v>3</v>
      </c>
      <c r="G120" s="14">
        <v>29839</v>
      </c>
      <c r="H120" s="5">
        <v>889827</v>
      </c>
      <c r="I120" s="5" t="s">
        <v>10</v>
      </c>
    </row>
    <row r="121" spans="1:9" x14ac:dyDescent="0.4">
      <c r="A121" s="14">
        <v>44124</v>
      </c>
      <c r="B121" s="5">
        <v>87310</v>
      </c>
      <c r="C121" s="5" t="s">
        <v>26</v>
      </c>
      <c r="D121" s="5">
        <v>783</v>
      </c>
      <c r="E121" s="5">
        <v>2</v>
      </c>
      <c r="F121" s="5">
        <v>3</v>
      </c>
      <c r="G121" s="14">
        <v>31746</v>
      </c>
      <c r="H121" s="5">
        <v>807124</v>
      </c>
      <c r="I121" s="5" t="s">
        <v>10</v>
      </c>
    </row>
    <row r="122" spans="1:9" x14ac:dyDescent="0.4">
      <c r="A122" s="14">
        <v>44164</v>
      </c>
      <c r="B122" s="5">
        <v>96889</v>
      </c>
      <c r="C122" s="5" t="s">
        <v>12</v>
      </c>
      <c r="D122" s="5">
        <v>708</v>
      </c>
      <c r="E122" s="5">
        <v>3</v>
      </c>
      <c r="F122" s="5">
        <v>10</v>
      </c>
      <c r="G122" s="14">
        <v>29793</v>
      </c>
      <c r="H122" s="5">
        <v>689583</v>
      </c>
      <c r="I122" s="5" t="s">
        <v>10</v>
      </c>
    </row>
    <row r="123" spans="1:9" x14ac:dyDescent="0.4">
      <c r="A123" s="14">
        <v>44113</v>
      </c>
      <c r="B123" s="5">
        <v>10493</v>
      </c>
      <c r="C123" s="5" t="s">
        <v>24</v>
      </c>
      <c r="D123" s="5">
        <v>773</v>
      </c>
      <c r="E123" s="5">
        <v>5</v>
      </c>
      <c r="F123" s="5">
        <v>3</v>
      </c>
      <c r="G123" s="14">
        <v>30179</v>
      </c>
      <c r="H123" s="5">
        <v>581795</v>
      </c>
      <c r="I123" s="5" t="s">
        <v>14</v>
      </c>
    </row>
    <row r="124" spans="1:9" x14ac:dyDescent="0.4">
      <c r="A124" s="14">
        <v>43840</v>
      </c>
      <c r="B124" s="5">
        <v>80302</v>
      </c>
      <c r="C124" s="5" t="s">
        <v>31</v>
      </c>
      <c r="D124" s="5">
        <v>725</v>
      </c>
      <c r="E124" s="5">
        <v>1</v>
      </c>
      <c r="F124" s="5">
        <v>9</v>
      </c>
      <c r="G124" s="14">
        <v>34031</v>
      </c>
      <c r="H124" s="5">
        <v>833731</v>
      </c>
      <c r="I124" s="5" t="s">
        <v>17</v>
      </c>
    </row>
    <row r="125" spans="1:9" x14ac:dyDescent="0.4">
      <c r="A125" s="14">
        <v>44146</v>
      </c>
      <c r="B125" s="5">
        <v>88284</v>
      </c>
      <c r="C125" s="5" t="s">
        <v>12</v>
      </c>
      <c r="D125" s="5">
        <v>800</v>
      </c>
      <c r="E125" s="5">
        <v>1</v>
      </c>
      <c r="F125" s="5">
        <v>4</v>
      </c>
      <c r="G125" s="14">
        <v>31027</v>
      </c>
      <c r="H125" s="5">
        <v>752765</v>
      </c>
      <c r="I125" s="5" t="s">
        <v>17</v>
      </c>
    </row>
    <row r="126" spans="1:9" x14ac:dyDescent="0.4">
      <c r="A126" s="14">
        <v>43995</v>
      </c>
      <c r="B126" s="5">
        <v>12151</v>
      </c>
      <c r="C126" s="5" t="s">
        <v>19</v>
      </c>
      <c r="D126" s="5">
        <v>787</v>
      </c>
      <c r="E126" s="5">
        <v>4</v>
      </c>
      <c r="F126" s="5">
        <v>9</v>
      </c>
      <c r="G126" s="14">
        <v>31337</v>
      </c>
      <c r="H126" s="5">
        <v>703384</v>
      </c>
      <c r="I126" s="5" t="s">
        <v>10</v>
      </c>
    </row>
    <row r="127" spans="1:9" x14ac:dyDescent="0.4">
      <c r="A127" s="14">
        <v>44063</v>
      </c>
      <c r="B127" s="5">
        <v>82581</v>
      </c>
      <c r="C127" s="5" t="s">
        <v>15</v>
      </c>
      <c r="D127" s="5">
        <v>755</v>
      </c>
      <c r="E127" s="5">
        <v>2</v>
      </c>
      <c r="F127" s="5">
        <v>6</v>
      </c>
      <c r="G127" s="14">
        <v>34696</v>
      </c>
      <c r="H127" s="5">
        <v>660009</v>
      </c>
      <c r="I127" s="5" t="s">
        <v>14</v>
      </c>
    </row>
    <row r="128" spans="1:9" x14ac:dyDescent="0.4">
      <c r="A128" s="14">
        <v>43839</v>
      </c>
      <c r="B128" s="5">
        <v>38948</v>
      </c>
      <c r="C128" s="5" t="s">
        <v>18</v>
      </c>
      <c r="D128" s="5">
        <v>734</v>
      </c>
      <c r="E128" s="5">
        <v>1</v>
      </c>
      <c r="F128" s="5">
        <v>4</v>
      </c>
      <c r="G128" s="14">
        <v>29345</v>
      </c>
      <c r="H128" s="5">
        <v>973182</v>
      </c>
      <c r="I128" s="5" t="s">
        <v>17</v>
      </c>
    </row>
    <row r="129" spans="1:9" x14ac:dyDescent="0.4">
      <c r="A129" s="14">
        <v>44014</v>
      </c>
      <c r="B129" s="5">
        <v>18273</v>
      </c>
      <c r="C129" s="5" t="s">
        <v>15</v>
      </c>
      <c r="D129" s="5">
        <v>716</v>
      </c>
      <c r="E129" s="5">
        <v>1</v>
      </c>
      <c r="F129" s="5">
        <v>8</v>
      </c>
      <c r="G129" s="14">
        <v>31134</v>
      </c>
      <c r="H129" s="5">
        <v>856616</v>
      </c>
      <c r="I129" s="5" t="s">
        <v>17</v>
      </c>
    </row>
    <row r="130" spans="1:9" x14ac:dyDescent="0.4">
      <c r="A130" s="14">
        <v>44014</v>
      </c>
      <c r="B130" s="5">
        <v>24463</v>
      </c>
      <c r="C130" s="5" t="s">
        <v>12</v>
      </c>
      <c r="D130" s="5">
        <v>758</v>
      </c>
      <c r="E130" s="5">
        <v>4</v>
      </c>
      <c r="F130" s="5">
        <v>3</v>
      </c>
      <c r="G130" s="14">
        <v>33312</v>
      </c>
      <c r="H130" s="5">
        <v>606785</v>
      </c>
      <c r="I130" s="5" t="s">
        <v>10</v>
      </c>
    </row>
    <row r="131" spans="1:9" x14ac:dyDescent="0.4">
      <c r="A131" s="14">
        <v>43833</v>
      </c>
      <c r="B131" s="5">
        <v>95176</v>
      </c>
      <c r="C131" s="5" t="s">
        <v>35</v>
      </c>
      <c r="D131" s="5">
        <v>708</v>
      </c>
      <c r="E131" s="5">
        <v>3</v>
      </c>
      <c r="F131" s="5">
        <v>7</v>
      </c>
      <c r="G131" s="14">
        <v>34574</v>
      </c>
      <c r="H131" s="5">
        <v>703577</v>
      </c>
      <c r="I131" s="5" t="s">
        <v>17</v>
      </c>
    </row>
    <row r="132" spans="1:9" x14ac:dyDescent="0.4">
      <c r="A132" s="14">
        <v>43874</v>
      </c>
      <c r="B132" s="5">
        <v>39558</v>
      </c>
      <c r="C132" s="5" t="s">
        <v>11</v>
      </c>
      <c r="D132" s="5">
        <v>766</v>
      </c>
      <c r="E132" s="5">
        <v>3</v>
      </c>
      <c r="F132" s="5">
        <v>4</v>
      </c>
      <c r="G132" s="14">
        <v>33350</v>
      </c>
      <c r="H132" s="5">
        <v>948975</v>
      </c>
      <c r="I132" s="5" t="s">
        <v>10</v>
      </c>
    </row>
    <row r="133" spans="1:9" x14ac:dyDescent="0.4">
      <c r="A133" s="14">
        <v>43839</v>
      </c>
      <c r="B133" s="5">
        <v>93584</v>
      </c>
      <c r="C133" s="5" t="s">
        <v>22</v>
      </c>
      <c r="D133" s="5">
        <v>709</v>
      </c>
      <c r="E133" s="5">
        <v>3</v>
      </c>
      <c r="F133" s="5">
        <v>5</v>
      </c>
      <c r="G133" s="14">
        <v>32370</v>
      </c>
      <c r="H133" s="5">
        <v>715479</v>
      </c>
      <c r="I133" s="5" t="s">
        <v>17</v>
      </c>
    </row>
    <row r="134" spans="1:9" x14ac:dyDescent="0.4">
      <c r="A134" s="14">
        <v>44083</v>
      </c>
      <c r="B134" s="5">
        <v>38017</v>
      </c>
      <c r="C134" s="5" t="s">
        <v>31</v>
      </c>
      <c r="D134" s="5">
        <v>721</v>
      </c>
      <c r="E134" s="5">
        <v>3</v>
      </c>
      <c r="F134" s="5">
        <v>3</v>
      </c>
      <c r="G134" s="14">
        <v>34344</v>
      </c>
      <c r="H134" s="5">
        <v>559126</v>
      </c>
      <c r="I134" s="5" t="s">
        <v>10</v>
      </c>
    </row>
    <row r="135" spans="1:9" x14ac:dyDescent="0.4">
      <c r="A135" s="14">
        <v>44075</v>
      </c>
      <c r="B135" s="5">
        <v>91310</v>
      </c>
      <c r="C135" s="5" t="s">
        <v>25</v>
      </c>
      <c r="D135" s="5">
        <v>783</v>
      </c>
      <c r="E135" s="5">
        <v>4</v>
      </c>
      <c r="F135" s="5">
        <v>7</v>
      </c>
      <c r="G135" s="14">
        <v>29857</v>
      </c>
      <c r="H135" s="5">
        <v>628975</v>
      </c>
      <c r="I135" s="5" t="s">
        <v>17</v>
      </c>
    </row>
    <row r="136" spans="1:9" x14ac:dyDescent="0.4">
      <c r="A136" s="14">
        <v>44101</v>
      </c>
      <c r="B136" s="5">
        <v>75570</v>
      </c>
      <c r="C136" s="5" t="s">
        <v>32</v>
      </c>
      <c r="D136" s="5">
        <v>724</v>
      </c>
      <c r="E136" s="5">
        <v>1</v>
      </c>
      <c r="F136" s="5">
        <v>2</v>
      </c>
      <c r="G136" s="14">
        <v>29431</v>
      </c>
      <c r="H136" s="5">
        <v>724346</v>
      </c>
      <c r="I136" s="5" t="s">
        <v>14</v>
      </c>
    </row>
    <row r="137" spans="1:9" x14ac:dyDescent="0.4">
      <c r="A137" s="14">
        <v>44040</v>
      </c>
      <c r="B137" s="5">
        <v>93524</v>
      </c>
      <c r="C137" s="5" t="s">
        <v>9</v>
      </c>
      <c r="D137" s="5">
        <v>768</v>
      </c>
      <c r="E137" s="5">
        <v>3</v>
      </c>
      <c r="F137" s="5">
        <v>5</v>
      </c>
      <c r="G137" s="14">
        <v>32028</v>
      </c>
      <c r="H137" s="5">
        <v>900713</v>
      </c>
      <c r="I137" s="5" t="s">
        <v>14</v>
      </c>
    </row>
    <row r="138" spans="1:9" x14ac:dyDescent="0.4">
      <c r="A138" s="14">
        <v>44003</v>
      </c>
      <c r="B138" s="5">
        <v>78035</v>
      </c>
      <c r="C138" s="5" t="s">
        <v>24</v>
      </c>
      <c r="D138" s="5">
        <v>716</v>
      </c>
      <c r="E138" s="5">
        <v>2</v>
      </c>
      <c r="F138" s="5">
        <v>2</v>
      </c>
      <c r="G138" s="14">
        <v>32341</v>
      </c>
      <c r="H138" s="5">
        <v>757731</v>
      </c>
      <c r="I138" s="5" t="s">
        <v>10</v>
      </c>
    </row>
    <row r="139" spans="1:9" x14ac:dyDescent="0.4">
      <c r="A139" s="14">
        <v>44110</v>
      </c>
      <c r="B139" s="5">
        <v>90930</v>
      </c>
      <c r="C139" s="5" t="s">
        <v>32</v>
      </c>
      <c r="D139" s="5">
        <v>742</v>
      </c>
      <c r="E139" s="5">
        <v>5</v>
      </c>
      <c r="F139" s="5">
        <v>9</v>
      </c>
      <c r="G139" s="14">
        <v>30984</v>
      </c>
      <c r="H139" s="5">
        <v>862373</v>
      </c>
      <c r="I139" s="5" t="s">
        <v>14</v>
      </c>
    </row>
    <row r="140" spans="1:9" x14ac:dyDescent="0.4">
      <c r="A140" s="14">
        <v>43999</v>
      </c>
      <c r="B140" s="5">
        <v>54049</v>
      </c>
      <c r="C140" s="5" t="s">
        <v>19</v>
      </c>
      <c r="D140" s="5">
        <v>782</v>
      </c>
      <c r="E140" s="5">
        <v>2</v>
      </c>
      <c r="F140" s="5">
        <v>5</v>
      </c>
      <c r="G140" s="14">
        <v>29451</v>
      </c>
      <c r="H140" s="5">
        <v>695038</v>
      </c>
      <c r="I140" s="5" t="s">
        <v>14</v>
      </c>
    </row>
    <row r="141" spans="1:9" x14ac:dyDescent="0.4">
      <c r="A141" s="14">
        <v>44097</v>
      </c>
      <c r="B141" s="5">
        <v>36823</v>
      </c>
      <c r="C141" s="5" t="s">
        <v>26</v>
      </c>
      <c r="D141" s="5">
        <v>746</v>
      </c>
      <c r="E141" s="5">
        <v>4</v>
      </c>
      <c r="F141" s="5">
        <v>3</v>
      </c>
      <c r="G141" s="14">
        <v>30669</v>
      </c>
      <c r="H141" s="5">
        <v>603569</v>
      </c>
      <c r="I141" s="5" t="s">
        <v>17</v>
      </c>
    </row>
    <row r="142" spans="1:9" x14ac:dyDescent="0.4">
      <c r="A142" s="14">
        <v>43938</v>
      </c>
      <c r="B142" s="5">
        <v>84705</v>
      </c>
      <c r="C142" s="5" t="s">
        <v>24</v>
      </c>
      <c r="D142" s="5">
        <v>790</v>
      </c>
      <c r="E142" s="5">
        <v>5</v>
      </c>
      <c r="F142" s="5">
        <v>3</v>
      </c>
      <c r="G142" s="14">
        <v>30042</v>
      </c>
      <c r="H142" s="5">
        <v>819230</v>
      </c>
      <c r="I142" s="5" t="s">
        <v>10</v>
      </c>
    </row>
    <row r="143" spans="1:9" x14ac:dyDescent="0.4">
      <c r="A143" s="14">
        <v>44010</v>
      </c>
      <c r="B143" s="5">
        <v>14796</v>
      </c>
      <c r="C143" s="5" t="s">
        <v>31</v>
      </c>
      <c r="D143" s="5">
        <v>742</v>
      </c>
      <c r="E143" s="5">
        <v>2</v>
      </c>
      <c r="F143" s="5">
        <v>8</v>
      </c>
      <c r="G143" s="14">
        <v>34446</v>
      </c>
      <c r="H143" s="5">
        <v>534072</v>
      </c>
      <c r="I143" s="5" t="s">
        <v>17</v>
      </c>
    </row>
    <row r="144" spans="1:9" x14ac:dyDescent="0.4">
      <c r="A144" s="14">
        <v>43989</v>
      </c>
      <c r="B144" s="5">
        <v>49843</v>
      </c>
      <c r="C144" s="5" t="s">
        <v>13</v>
      </c>
      <c r="D144" s="5">
        <v>733</v>
      </c>
      <c r="E144" s="5">
        <v>3</v>
      </c>
      <c r="F144" s="5">
        <v>4</v>
      </c>
      <c r="G144" s="14">
        <v>31440</v>
      </c>
      <c r="H144" s="5">
        <v>911169</v>
      </c>
      <c r="I144" s="5" t="s">
        <v>10</v>
      </c>
    </row>
    <row r="145" spans="1:9" x14ac:dyDescent="0.4">
      <c r="A145" s="14">
        <v>43970</v>
      </c>
      <c r="B145" s="5">
        <v>70258</v>
      </c>
      <c r="C145" s="5" t="s">
        <v>35</v>
      </c>
      <c r="D145" s="5">
        <v>736</v>
      </c>
      <c r="E145" s="5">
        <v>4</v>
      </c>
      <c r="F145" s="5">
        <v>7</v>
      </c>
      <c r="G145" s="14">
        <v>31850</v>
      </c>
      <c r="H145" s="5">
        <v>665622</v>
      </c>
      <c r="I145" s="5" t="s">
        <v>14</v>
      </c>
    </row>
    <row r="146" spans="1:9" x14ac:dyDescent="0.4">
      <c r="A146" s="14">
        <v>43897</v>
      </c>
      <c r="B146" s="5">
        <v>53621</v>
      </c>
      <c r="C146" s="5" t="s">
        <v>27</v>
      </c>
      <c r="D146" s="5">
        <v>747</v>
      </c>
      <c r="E146" s="5">
        <v>2</v>
      </c>
      <c r="F146" s="5">
        <v>9</v>
      </c>
      <c r="G146" s="14">
        <v>33723</v>
      </c>
      <c r="H146" s="5">
        <v>746291</v>
      </c>
      <c r="I146" s="5" t="s">
        <v>10</v>
      </c>
    </row>
    <row r="147" spans="1:9" x14ac:dyDescent="0.4">
      <c r="A147" s="14">
        <v>44113</v>
      </c>
      <c r="B147" s="5">
        <v>77593</v>
      </c>
      <c r="C147" s="5" t="s">
        <v>30</v>
      </c>
      <c r="D147" s="5">
        <v>762</v>
      </c>
      <c r="E147" s="5">
        <v>3</v>
      </c>
      <c r="F147" s="5">
        <v>5</v>
      </c>
      <c r="G147" s="14">
        <v>34024</v>
      </c>
      <c r="H147" s="5">
        <v>759883</v>
      </c>
      <c r="I147" s="5" t="s">
        <v>17</v>
      </c>
    </row>
    <row r="148" spans="1:9" x14ac:dyDescent="0.4">
      <c r="A148" s="14">
        <v>43883</v>
      </c>
      <c r="B148" s="5">
        <v>84960</v>
      </c>
      <c r="C148" s="5" t="s">
        <v>21</v>
      </c>
      <c r="D148" s="5">
        <v>732</v>
      </c>
      <c r="E148" s="5">
        <v>5</v>
      </c>
      <c r="F148" s="5">
        <v>4</v>
      </c>
      <c r="G148" s="14">
        <v>34473</v>
      </c>
      <c r="H148" s="5">
        <v>737751</v>
      </c>
      <c r="I148" s="5" t="s">
        <v>14</v>
      </c>
    </row>
    <row r="149" spans="1:9" x14ac:dyDescent="0.4">
      <c r="A149" s="14">
        <v>44090</v>
      </c>
      <c r="B149" s="5">
        <v>41108</v>
      </c>
      <c r="C149" s="5" t="s">
        <v>13</v>
      </c>
      <c r="D149" s="5">
        <v>786</v>
      </c>
      <c r="E149" s="5">
        <v>4</v>
      </c>
      <c r="F149" s="5">
        <v>8</v>
      </c>
      <c r="G149" s="14">
        <v>32204</v>
      </c>
      <c r="H149" s="5">
        <v>807001</v>
      </c>
      <c r="I149" s="5" t="s">
        <v>10</v>
      </c>
    </row>
    <row r="150" spans="1:9" x14ac:dyDescent="0.4">
      <c r="A150" s="14">
        <v>44097</v>
      </c>
      <c r="B150" s="5">
        <v>20898</v>
      </c>
      <c r="C150" s="5" t="s">
        <v>11</v>
      </c>
      <c r="D150" s="5">
        <v>717</v>
      </c>
      <c r="E150" s="5">
        <v>4</v>
      </c>
      <c r="F150" s="5">
        <v>9</v>
      </c>
      <c r="G150" s="14">
        <v>34124</v>
      </c>
      <c r="H150" s="5">
        <v>681201</v>
      </c>
      <c r="I150" s="5" t="s">
        <v>10</v>
      </c>
    </row>
    <row r="151" spans="1:9" x14ac:dyDescent="0.4">
      <c r="A151" s="14">
        <v>43897</v>
      </c>
      <c r="B151" s="5">
        <v>83281</v>
      </c>
      <c r="C151" s="5" t="s">
        <v>18</v>
      </c>
      <c r="D151" s="5">
        <v>709</v>
      </c>
      <c r="E151" s="5">
        <v>5</v>
      </c>
      <c r="F151" s="5">
        <v>7</v>
      </c>
      <c r="G151" s="14">
        <v>34422</v>
      </c>
      <c r="H151" s="5">
        <v>740015</v>
      </c>
      <c r="I151" s="5" t="s">
        <v>17</v>
      </c>
    </row>
    <row r="152" spans="1:9" x14ac:dyDescent="0.4">
      <c r="A152" s="14">
        <v>44131</v>
      </c>
      <c r="B152" s="5">
        <v>83373</v>
      </c>
      <c r="C152" s="5" t="s">
        <v>11</v>
      </c>
      <c r="D152" s="5">
        <v>756</v>
      </c>
      <c r="E152" s="5">
        <v>2</v>
      </c>
      <c r="F152" s="5">
        <v>3</v>
      </c>
      <c r="G152" s="14">
        <v>33771</v>
      </c>
      <c r="H152" s="5">
        <v>845107</v>
      </c>
      <c r="I152" s="5" t="s">
        <v>17</v>
      </c>
    </row>
    <row r="153" spans="1:9" x14ac:dyDescent="0.4">
      <c r="A153" s="14">
        <v>44016</v>
      </c>
      <c r="B153" s="5">
        <v>38470</v>
      </c>
      <c r="C153" s="5" t="s">
        <v>28</v>
      </c>
      <c r="D153" s="5">
        <v>793</v>
      </c>
      <c r="E153" s="5">
        <v>4</v>
      </c>
      <c r="F153" s="5">
        <v>7</v>
      </c>
      <c r="G153" s="14">
        <v>30929</v>
      </c>
      <c r="H153" s="5">
        <v>739435</v>
      </c>
      <c r="I153" s="5" t="s">
        <v>10</v>
      </c>
    </row>
    <row r="154" spans="1:9" x14ac:dyDescent="0.4">
      <c r="A154" s="14">
        <v>43997</v>
      </c>
      <c r="B154" s="5">
        <v>30320</v>
      </c>
      <c r="C154" s="5" t="s">
        <v>15</v>
      </c>
      <c r="D154" s="5">
        <v>798</v>
      </c>
      <c r="E154" s="5">
        <v>2</v>
      </c>
      <c r="F154" s="5">
        <v>1</v>
      </c>
      <c r="G154" s="14">
        <v>31051</v>
      </c>
      <c r="H154" s="5">
        <v>857830</v>
      </c>
      <c r="I154" s="5" t="s">
        <v>10</v>
      </c>
    </row>
    <row r="155" spans="1:9" x14ac:dyDescent="0.4">
      <c r="A155" s="14">
        <v>43976</v>
      </c>
      <c r="B155" s="5">
        <v>41106</v>
      </c>
      <c r="C155" s="5" t="s">
        <v>31</v>
      </c>
      <c r="D155" s="5">
        <v>746</v>
      </c>
      <c r="E155" s="5">
        <v>2</v>
      </c>
      <c r="F155" s="5">
        <v>3</v>
      </c>
      <c r="G155" s="14">
        <v>34614</v>
      </c>
      <c r="H155" s="5">
        <v>518202</v>
      </c>
      <c r="I155" s="5" t="s">
        <v>17</v>
      </c>
    </row>
    <row r="156" spans="1:9" x14ac:dyDescent="0.4">
      <c r="A156" s="14">
        <v>43901</v>
      </c>
      <c r="B156" s="5">
        <v>50298</v>
      </c>
      <c r="C156" s="5" t="s">
        <v>26</v>
      </c>
      <c r="D156" s="5">
        <v>755</v>
      </c>
      <c r="E156" s="5">
        <v>4</v>
      </c>
      <c r="F156" s="5">
        <v>5</v>
      </c>
      <c r="G156" s="14">
        <v>31428</v>
      </c>
      <c r="H156" s="5">
        <v>722229</v>
      </c>
      <c r="I156" s="5" t="s">
        <v>17</v>
      </c>
    </row>
    <row r="157" spans="1:9" x14ac:dyDescent="0.4">
      <c r="A157" s="14">
        <v>43908</v>
      </c>
      <c r="B157" s="5">
        <v>18184</v>
      </c>
      <c r="C157" s="5" t="s">
        <v>15</v>
      </c>
      <c r="D157" s="5">
        <v>703</v>
      </c>
      <c r="E157" s="5">
        <v>4</v>
      </c>
      <c r="F157" s="5">
        <v>6</v>
      </c>
      <c r="G157" s="14">
        <v>30633</v>
      </c>
      <c r="H157" s="5">
        <v>993598</v>
      </c>
      <c r="I157" s="5" t="s">
        <v>17</v>
      </c>
    </row>
    <row r="158" spans="1:9" x14ac:dyDescent="0.4">
      <c r="A158" s="14">
        <v>43914</v>
      </c>
      <c r="B158" s="5">
        <v>71263</v>
      </c>
      <c r="C158" s="5" t="s">
        <v>13</v>
      </c>
      <c r="D158" s="5">
        <v>783</v>
      </c>
      <c r="E158" s="5">
        <v>1</v>
      </c>
      <c r="F158" s="5">
        <v>8</v>
      </c>
      <c r="G158" s="14">
        <v>33881</v>
      </c>
      <c r="H158" s="5">
        <v>537747</v>
      </c>
      <c r="I158" s="5" t="s">
        <v>17</v>
      </c>
    </row>
    <row r="159" spans="1:9" x14ac:dyDescent="0.4">
      <c r="A159" s="14">
        <v>43959</v>
      </c>
      <c r="B159" s="5">
        <v>40508</v>
      </c>
      <c r="C159" s="5" t="s">
        <v>15</v>
      </c>
      <c r="D159" s="5">
        <v>718</v>
      </c>
      <c r="E159" s="5">
        <v>3</v>
      </c>
      <c r="F159" s="5">
        <v>1</v>
      </c>
      <c r="G159" s="14">
        <v>32532</v>
      </c>
      <c r="H159" s="5">
        <v>818556</v>
      </c>
      <c r="I159" s="5" t="s">
        <v>17</v>
      </c>
    </row>
    <row r="160" spans="1:9" x14ac:dyDescent="0.4">
      <c r="A160" s="14">
        <v>43992</v>
      </c>
      <c r="B160" s="5">
        <v>31054</v>
      </c>
      <c r="C160" s="5" t="s">
        <v>9</v>
      </c>
      <c r="D160" s="5">
        <v>708</v>
      </c>
      <c r="E160" s="5">
        <v>4</v>
      </c>
      <c r="F160" s="5">
        <v>7</v>
      </c>
      <c r="G160" s="14">
        <v>30739</v>
      </c>
      <c r="H160" s="5">
        <v>692252</v>
      </c>
      <c r="I160" s="5" t="s">
        <v>10</v>
      </c>
    </row>
    <row r="161" spans="1:9" x14ac:dyDescent="0.4">
      <c r="A161" s="14">
        <v>44000</v>
      </c>
      <c r="B161" s="5">
        <v>44940</v>
      </c>
      <c r="C161" s="5" t="s">
        <v>24</v>
      </c>
      <c r="D161" s="5">
        <v>770</v>
      </c>
      <c r="E161" s="5">
        <v>5</v>
      </c>
      <c r="F161" s="5">
        <v>2</v>
      </c>
      <c r="G161" s="14">
        <v>33965</v>
      </c>
      <c r="H161" s="5">
        <v>718232</v>
      </c>
      <c r="I161" s="5" t="s">
        <v>10</v>
      </c>
    </row>
    <row r="162" spans="1:9" x14ac:dyDescent="0.4">
      <c r="A162" s="14">
        <v>43972</v>
      </c>
      <c r="B162" s="5">
        <v>50466</v>
      </c>
      <c r="C162" s="5" t="s">
        <v>26</v>
      </c>
      <c r="D162" s="5">
        <v>799</v>
      </c>
      <c r="E162" s="5">
        <v>5</v>
      </c>
      <c r="F162" s="5">
        <v>5</v>
      </c>
      <c r="G162" s="14">
        <v>33919</v>
      </c>
      <c r="H162" s="5">
        <v>922183</v>
      </c>
      <c r="I162" s="5" t="s">
        <v>14</v>
      </c>
    </row>
    <row r="163" spans="1:9" x14ac:dyDescent="0.4">
      <c r="A163" s="14">
        <v>43906</v>
      </c>
      <c r="B163" s="5">
        <v>82889</v>
      </c>
      <c r="C163" s="5" t="s">
        <v>23</v>
      </c>
      <c r="D163" s="5">
        <v>725</v>
      </c>
      <c r="E163" s="5">
        <v>4</v>
      </c>
      <c r="F163" s="5">
        <v>9</v>
      </c>
      <c r="G163" s="14">
        <v>31460</v>
      </c>
      <c r="H163" s="5">
        <v>824112</v>
      </c>
      <c r="I163" s="5" t="s">
        <v>14</v>
      </c>
    </row>
    <row r="164" spans="1:9" x14ac:dyDescent="0.4">
      <c r="A164" s="14">
        <v>43983</v>
      </c>
      <c r="B164" s="5">
        <v>68268</v>
      </c>
      <c r="C164" s="5" t="s">
        <v>24</v>
      </c>
      <c r="D164" s="5">
        <v>764</v>
      </c>
      <c r="E164" s="5">
        <v>5</v>
      </c>
      <c r="F164" s="5">
        <v>4</v>
      </c>
      <c r="G164" s="14">
        <v>31855</v>
      </c>
      <c r="H164" s="5">
        <v>854960</v>
      </c>
      <c r="I164" s="5" t="s">
        <v>10</v>
      </c>
    </row>
    <row r="165" spans="1:9" x14ac:dyDescent="0.4">
      <c r="A165" s="14">
        <v>43952</v>
      </c>
      <c r="B165" s="5">
        <v>72362</v>
      </c>
      <c r="C165" s="5" t="s">
        <v>26</v>
      </c>
      <c r="D165" s="5">
        <v>711</v>
      </c>
      <c r="E165" s="5">
        <v>5</v>
      </c>
      <c r="F165" s="5">
        <v>8</v>
      </c>
      <c r="G165" s="14">
        <v>32437</v>
      </c>
      <c r="H165" s="5">
        <v>989356</v>
      </c>
      <c r="I165" s="5" t="s">
        <v>14</v>
      </c>
    </row>
    <row r="166" spans="1:9" x14ac:dyDescent="0.4">
      <c r="A166" s="14">
        <v>44037</v>
      </c>
      <c r="B166" s="5">
        <v>10986</v>
      </c>
      <c r="C166" s="5" t="s">
        <v>21</v>
      </c>
      <c r="D166" s="5">
        <v>789</v>
      </c>
      <c r="E166" s="5">
        <v>4</v>
      </c>
      <c r="F166" s="5">
        <v>7</v>
      </c>
      <c r="G166" s="14">
        <v>29503</v>
      </c>
      <c r="H166" s="5">
        <v>868700</v>
      </c>
      <c r="I166" s="5" t="s">
        <v>17</v>
      </c>
    </row>
    <row r="167" spans="1:9" x14ac:dyDescent="0.4">
      <c r="A167" s="14">
        <v>44003</v>
      </c>
      <c r="B167" s="5">
        <v>80405</v>
      </c>
      <c r="C167" s="5" t="s">
        <v>11</v>
      </c>
      <c r="D167" s="5">
        <v>723</v>
      </c>
      <c r="E167" s="5">
        <v>2</v>
      </c>
      <c r="F167" s="5">
        <v>8</v>
      </c>
      <c r="G167" s="14">
        <v>30268</v>
      </c>
      <c r="H167" s="5">
        <v>654491</v>
      </c>
      <c r="I167" s="5" t="s">
        <v>14</v>
      </c>
    </row>
    <row r="168" spans="1:9" x14ac:dyDescent="0.4">
      <c r="A168" s="14">
        <v>44128</v>
      </c>
      <c r="B168" s="5">
        <v>40834</v>
      </c>
      <c r="C168" s="5" t="s">
        <v>27</v>
      </c>
      <c r="D168" s="5">
        <v>708</v>
      </c>
      <c r="E168" s="5">
        <v>1</v>
      </c>
      <c r="F168" s="5">
        <v>5</v>
      </c>
      <c r="G168" s="14">
        <v>34428</v>
      </c>
      <c r="H168" s="5">
        <v>936156</v>
      </c>
      <c r="I168" s="5" t="s">
        <v>10</v>
      </c>
    </row>
    <row r="169" spans="1:9" x14ac:dyDescent="0.4">
      <c r="A169" s="14">
        <v>44002</v>
      </c>
      <c r="B169" s="5">
        <v>61276</v>
      </c>
      <c r="C169" s="5" t="s">
        <v>24</v>
      </c>
      <c r="D169" s="5">
        <v>796</v>
      </c>
      <c r="E169" s="5">
        <v>2</v>
      </c>
      <c r="F169" s="5">
        <v>2</v>
      </c>
      <c r="G169" s="14">
        <v>30571</v>
      </c>
      <c r="H169" s="5">
        <v>902760</v>
      </c>
      <c r="I169" s="5" t="s">
        <v>14</v>
      </c>
    </row>
    <row r="170" spans="1:9" x14ac:dyDescent="0.4">
      <c r="A170" s="14">
        <v>43878</v>
      </c>
      <c r="B170" s="5">
        <v>64597</v>
      </c>
      <c r="C170" s="5" t="s">
        <v>25</v>
      </c>
      <c r="D170" s="5">
        <v>727</v>
      </c>
      <c r="E170" s="5">
        <v>3</v>
      </c>
      <c r="F170" s="5">
        <v>5</v>
      </c>
      <c r="G170" s="14">
        <v>32616</v>
      </c>
      <c r="H170" s="5">
        <v>759509</v>
      </c>
      <c r="I170" s="5" t="s">
        <v>17</v>
      </c>
    </row>
    <row r="171" spans="1:9" x14ac:dyDescent="0.4">
      <c r="A171" s="14">
        <v>44003</v>
      </c>
      <c r="B171" s="5">
        <v>20325</v>
      </c>
      <c r="C171" s="5" t="s">
        <v>12</v>
      </c>
      <c r="D171" s="5">
        <v>754</v>
      </c>
      <c r="E171" s="5">
        <v>3</v>
      </c>
      <c r="F171" s="5">
        <v>4</v>
      </c>
      <c r="G171" s="14">
        <v>30706</v>
      </c>
      <c r="H171" s="5">
        <v>553520</v>
      </c>
      <c r="I171" s="5" t="s">
        <v>10</v>
      </c>
    </row>
    <row r="172" spans="1:9" x14ac:dyDescent="0.4">
      <c r="A172" s="14">
        <v>43863</v>
      </c>
      <c r="B172" s="5">
        <v>69249</v>
      </c>
      <c r="C172" s="5" t="s">
        <v>25</v>
      </c>
      <c r="D172" s="5">
        <v>757</v>
      </c>
      <c r="E172" s="5">
        <v>2</v>
      </c>
      <c r="F172" s="5">
        <v>3</v>
      </c>
      <c r="G172" s="14">
        <v>32181</v>
      </c>
      <c r="H172" s="5">
        <v>929923</v>
      </c>
      <c r="I172" s="5" t="s">
        <v>17</v>
      </c>
    </row>
    <row r="173" spans="1:9" x14ac:dyDescent="0.4">
      <c r="A173" s="14">
        <v>44079</v>
      </c>
      <c r="B173" s="5">
        <v>44270</v>
      </c>
      <c r="C173" s="5" t="s">
        <v>20</v>
      </c>
      <c r="D173" s="5">
        <v>775</v>
      </c>
      <c r="E173" s="5">
        <v>1</v>
      </c>
      <c r="F173" s="5">
        <v>5</v>
      </c>
      <c r="G173" s="14">
        <v>31450</v>
      </c>
      <c r="H173" s="5">
        <v>788221</v>
      </c>
      <c r="I173" s="5" t="s">
        <v>17</v>
      </c>
    </row>
    <row r="174" spans="1:9" x14ac:dyDescent="0.4">
      <c r="A174" s="14">
        <v>43930</v>
      </c>
      <c r="B174" s="5">
        <v>11550</v>
      </c>
      <c r="C174" s="5" t="s">
        <v>9</v>
      </c>
      <c r="D174" s="5">
        <v>729</v>
      </c>
      <c r="E174" s="5">
        <v>3</v>
      </c>
      <c r="F174" s="5">
        <v>4</v>
      </c>
      <c r="G174" s="14">
        <v>33189</v>
      </c>
      <c r="H174" s="5">
        <v>767387</v>
      </c>
      <c r="I174" s="5" t="s">
        <v>14</v>
      </c>
    </row>
    <row r="175" spans="1:9" x14ac:dyDescent="0.4">
      <c r="A175" s="14">
        <v>43925</v>
      </c>
      <c r="B175" s="5">
        <v>43241</v>
      </c>
      <c r="C175" s="5" t="s">
        <v>12</v>
      </c>
      <c r="D175" s="5">
        <v>719</v>
      </c>
      <c r="E175" s="5">
        <v>4</v>
      </c>
      <c r="F175" s="5">
        <v>7</v>
      </c>
      <c r="G175" s="14">
        <v>30916</v>
      </c>
      <c r="H175" s="5">
        <v>898213</v>
      </c>
      <c r="I175" s="5" t="s">
        <v>17</v>
      </c>
    </row>
    <row r="176" spans="1:9" x14ac:dyDescent="0.4">
      <c r="A176" s="14">
        <v>44035</v>
      </c>
      <c r="B176" s="5">
        <v>29545</v>
      </c>
      <c r="C176" s="5" t="s">
        <v>34</v>
      </c>
      <c r="D176" s="5">
        <v>766</v>
      </c>
      <c r="E176" s="5">
        <v>3</v>
      </c>
      <c r="F176" s="5">
        <v>10</v>
      </c>
      <c r="G176" s="14">
        <v>32033</v>
      </c>
      <c r="H176" s="5">
        <v>843659</v>
      </c>
      <c r="I176" s="5" t="s">
        <v>10</v>
      </c>
    </row>
    <row r="177" spans="1:9" x14ac:dyDescent="0.4">
      <c r="A177" s="14">
        <v>44018</v>
      </c>
      <c r="B177" s="5">
        <v>72884</v>
      </c>
      <c r="C177" s="5" t="s">
        <v>12</v>
      </c>
      <c r="D177" s="5">
        <v>747</v>
      </c>
      <c r="E177" s="5">
        <v>4</v>
      </c>
      <c r="F177" s="5">
        <v>2</v>
      </c>
      <c r="G177" s="14">
        <v>32430</v>
      </c>
      <c r="H177" s="5">
        <v>901188</v>
      </c>
      <c r="I177" s="5" t="s">
        <v>10</v>
      </c>
    </row>
    <row r="178" spans="1:9" x14ac:dyDescent="0.4">
      <c r="A178" s="14">
        <v>43977</v>
      </c>
      <c r="B178" s="5">
        <v>13475</v>
      </c>
      <c r="C178" s="5" t="s">
        <v>30</v>
      </c>
      <c r="D178" s="5">
        <v>800</v>
      </c>
      <c r="E178" s="5">
        <v>5</v>
      </c>
      <c r="F178" s="5">
        <v>3</v>
      </c>
      <c r="G178" s="14">
        <v>29250</v>
      </c>
      <c r="H178" s="5">
        <v>578868</v>
      </c>
      <c r="I178" s="5" t="s">
        <v>17</v>
      </c>
    </row>
    <row r="179" spans="1:9" x14ac:dyDescent="0.4">
      <c r="A179" s="14">
        <v>44043</v>
      </c>
      <c r="B179" s="5">
        <v>63362</v>
      </c>
      <c r="C179" s="5" t="s">
        <v>21</v>
      </c>
      <c r="D179" s="5">
        <v>724</v>
      </c>
      <c r="E179" s="5">
        <v>5</v>
      </c>
      <c r="F179" s="5">
        <v>2</v>
      </c>
      <c r="G179" s="14">
        <v>34091</v>
      </c>
      <c r="H179" s="5">
        <v>891505</v>
      </c>
      <c r="I179" s="5" t="s">
        <v>17</v>
      </c>
    </row>
    <row r="180" spans="1:9" x14ac:dyDescent="0.4">
      <c r="A180" s="14">
        <v>43870</v>
      </c>
      <c r="B180" s="5">
        <v>92047</v>
      </c>
      <c r="C180" s="5" t="s">
        <v>27</v>
      </c>
      <c r="D180" s="5">
        <v>738</v>
      </c>
      <c r="E180" s="5">
        <v>4</v>
      </c>
      <c r="F180" s="5">
        <v>8</v>
      </c>
      <c r="G180" s="14">
        <v>32149</v>
      </c>
      <c r="H180" s="5">
        <v>891901</v>
      </c>
      <c r="I180" s="5" t="s">
        <v>14</v>
      </c>
    </row>
    <row r="181" spans="1:9" x14ac:dyDescent="0.4">
      <c r="A181" s="14">
        <v>44042</v>
      </c>
      <c r="B181" s="5">
        <v>56119</v>
      </c>
      <c r="C181" s="5" t="s">
        <v>15</v>
      </c>
      <c r="D181" s="5">
        <v>729</v>
      </c>
      <c r="E181" s="5">
        <v>3</v>
      </c>
      <c r="F181" s="5">
        <v>10</v>
      </c>
      <c r="G181" s="14">
        <v>32919</v>
      </c>
      <c r="H181" s="5">
        <v>801976</v>
      </c>
      <c r="I181" s="5" t="s">
        <v>10</v>
      </c>
    </row>
    <row r="182" spans="1:9" x14ac:dyDescent="0.4">
      <c r="A182" s="14">
        <v>44050</v>
      </c>
      <c r="B182" s="5">
        <v>79806</v>
      </c>
      <c r="C182" s="5" t="s">
        <v>32</v>
      </c>
      <c r="D182" s="5">
        <v>760</v>
      </c>
      <c r="E182" s="5">
        <v>3</v>
      </c>
      <c r="F182" s="5">
        <v>8</v>
      </c>
      <c r="G182" s="14">
        <v>32026</v>
      </c>
      <c r="H182" s="5">
        <v>603480</v>
      </c>
      <c r="I182" s="5" t="s">
        <v>17</v>
      </c>
    </row>
    <row r="183" spans="1:9" x14ac:dyDescent="0.4">
      <c r="A183" s="14">
        <v>43850</v>
      </c>
      <c r="B183" s="5">
        <v>63927</v>
      </c>
      <c r="C183" s="5" t="s">
        <v>34</v>
      </c>
      <c r="D183" s="5">
        <v>740</v>
      </c>
      <c r="E183" s="5">
        <v>5</v>
      </c>
      <c r="F183" s="5">
        <v>5</v>
      </c>
      <c r="G183" s="14">
        <v>33339</v>
      </c>
      <c r="H183" s="5">
        <v>689555</v>
      </c>
      <c r="I183" s="5" t="s">
        <v>14</v>
      </c>
    </row>
    <row r="184" spans="1:9" x14ac:dyDescent="0.4">
      <c r="A184" s="14">
        <v>44137</v>
      </c>
      <c r="B184" s="5">
        <v>73461</v>
      </c>
      <c r="C184" s="5" t="s">
        <v>11</v>
      </c>
      <c r="D184" s="5">
        <v>763</v>
      </c>
      <c r="E184" s="5">
        <v>4</v>
      </c>
      <c r="F184" s="5">
        <v>10</v>
      </c>
      <c r="G184" s="14">
        <v>33857</v>
      </c>
      <c r="H184" s="5">
        <v>675486</v>
      </c>
      <c r="I184" s="5" t="s">
        <v>17</v>
      </c>
    </row>
    <row r="185" spans="1:9" x14ac:dyDescent="0.4">
      <c r="A185" s="14">
        <v>43958</v>
      </c>
      <c r="B185" s="5">
        <v>53939</v>
      </c>
      <c r="C185" s="5" t="s">
        <v>16</v>
      </c>
      <c r="D185" s="5">
        <v>729</v>
      </c>
      <c r="E185" s="5">
        <v>5</v>
      </c>
      <c r="F185" s="5">
        <v>4</v>
      </c>
      <c r="G185" s="14">
        <v>32537</v>
      </c>
      <c r="H185" s="5">
        <v>839023</v>
      </c>
      <c r="I185" s="5" t="s">
        <v>17</v>
      </c>
    </row>
    <row r="186" spans="1:9" x14ac:dyDescent="0.4">
      <c r="A186" s="14">
        <v>43953</v>
      </c>
      <c r="B186" s="5">
        <v>67752</v>
      </c>
      <c r="C186" s="5" t="s">
        <v>35</v>
      </c>
      <c r="D186" s="5">
        <v>743</v>
      </c>
      <c r="E186" s="5">
        <v>3</v>
      </c>
      <c r="F186" s="5">
        <v>9</v>
      </c>
      <c r="G186" s="14">
        <v>29573</v>
      </c>
      <c r="H186" s="5">
        <v>917829</v>
      </c>
      <c r="I186" s="5" t="s">
        <v>10</v>
      </c>
    </row>
    <row r="187" spans="1:9" x14ac:dyDescent="0.4">
      <c r="A187" s="14">
        <v>43894</v>
      </c>
      <c r="B187" s="5">
        <v>98469</v>
      </c>
      <c r="C187" s="5" t="s">
        <v>16</v>
      </c>
      <c r="D187" s="5">
        <v>796</v>
      </c>
      <c r="E187" s="5">
        <v>4</v>
      </c>
      <c r="F187" s="5">
        <v>1</v>
      </c>
      <c r="G187" s="14">
        <v>33341</v>
      </c>
      <c r="H187" s="5">
        <v>861547</v>
      </c>
      <c r="I187" s="5" t="s">
        <v>10</v>
      </c>
    </row>
    <row r="188" spans="1:9" x14ac:dyDescent="0.4">
      <c r="A188" s="14">
        <v>44133</v>
      </c>
      <c r="B188" s="5">
        <v>96055</v>
      </c>
      <c r="C188" s="5" t="s">
        <v>11</v>
      </c>
      <c r="D188" s="5">
        <v>744</v>
      </c>
      <c r="E188" s="5">
        <v>2</v>
      </c>
      <c r="F188" s="5">
        <v>2</v>
      </c>
      <c r="G188" s="14">
        <v>31200</v>
      </c>
      <c r="H188" s="5">
        <v>664025</v>
      </c>
      <c r="I188" s="5" t="s">
        <v>14</v>
      </c>
    </row>
    <row r="189" spans="1:9" x14ac:dyDescent="0.4">
      <c r="A189" s="14">
        <v>44143</v>
      </c>
      <c r="B189" s="5">
        <v>22022</v>
      </c>
      <c r="C189" s="5" t="s">
        <v>27</v>
      </c>
      <c r="D189" s="5">
        <v>733</v>
      </c>
      <c r="E189" s="5">
        <v>1</v>
      </c>
      <c r="F189" s="5">
        <v>3</v>
      </c>
      <c r="G189" s="14">
        <v>31252</v>
      </c>
      <c r="H189" s="5">
        <v>846070</v>
      </c>
      <c r="I189" s="5" t="s">
        <v>14</v>
      </c>
    </row>
    <row r="190" spans="1:9" x14ac:dyDescent="0.4">
      <c r="A190" s="14">
        <v>43946</v>
      </c>
      <c r="B190" s="5">
        <v>41378</v>
      </c>
      <c r="C190" s="5" t="s">
        <v>16</v>
      </c>
      <c r="D190" s="5">
        <v>786</v>
      </c>
      <c r="E190" s="5">
        <v>1</v>
      </c>
      <c r="F190" s="5">
        <v>7</v>
      </c>
      <c r="G190" s="14">
        <v>32037</v>
      </c>
      <c r="H190" s="5">
        <v>878397</v>
      </c>
      <c r="I190" s="5" t="s">
        <v>14</v>
      </c>
    </row>
    <row r="191" spans="1:9" x14ac:dyDescent="0.4">
      <c r="A191" s="14">
        <v>43867</v>
      </c>
      <c r="B191" s="5">
        <v>86426</v>
      </c>
      <c r="C191" s="5" t="s">
        <v>16</v>
      </c>
      <c r="D191" s="5">
        <v>705</v>
      </c>
      <c r="E191" s="5">
        <v>2</v>
      </c>
      <c r="F191" s="5">
        <v>3</v>
      </c>
      <c r="G191" s="14">
        <v>30150</v>
      </c>
      <c r="H191" s="5">
        <v>748370</v>
      </c>
      <c r="I191" s="5" t="s">
        <v>10</v>
      </c>
    </row>
    <row r="192" spans="1:9" x14ac:dyDescent="0.4">
      <c r="A192" s="14">
        <v>44016</v>
      </c>
      <c r="B192" s="5">
        <v>82232</v>
      </c>
      <c r="C192" s="5" t="s">
        <v>28</v>
      </c>
      <c r="D192" s="5">
        <v>779</v>
      </c>
      <c r="E192" s="5">
        <v>1</v>
      </c>
      <c r="F192" s="5">
        <v>7</v>
      </c>
      <c r="G192" s="14">
        <v>33600</v>
      </c>
      <c r="H192" s="5">
        <v>906582</v>
      </c>
      <c r="I192" s="5" t="s">
        <v>14</v>
      </c>
    </row>
    <row r="193" spans="1:9" x14ac:dyDescent="0.4">
      <c r="A193" s="14">
        <v>43987</v>
      </c>
      <c r="B193" s="5">
        <v>79140</v>
      </c>
      <c r="C193" s="5" t="s">
        <v>21</v>
      </c>
      <c r="D193" s="5">
        <v>728</v>
      </c>
      <c r="E193" s="5">
        <v>5</v>
      </c>
      <c r="F193" s="5">
        <v>1</v>
      </c>
      <c r="G193" s="14">
        <v>30590</v>
      </c>
      <c r="H193" s="5">
        <v>613530</v>
      </c>
      <c r="I193" s="5" t="s">
        <v>17</v>
      </c>
    </row>
    <row r="194" spans="1:9" x14ac:dyDescent="0.4">
      <c r="A194" s="14">
        <v>43890</v>
      </c>
      <c r="B194" s="5">
        <v>69241</v>
      </c>
      <c r="C194" s="5" t="s">
        <v>11</v>
      </c>
      <c r="D194" s="5">
        <v>724</v>
      </c>
      <c r="E194" s="5">
        <v>2</v>
      </c>
      <c r="F194" s="5">
        <v>9</v>
      </c>
      <c r="G194" s="14">
        <v>33113</v>
      </c>
      <c r="H194" s="5">
        <v>719344</v>
      </c>
      <c r="I194" s="5" t="s">
        <v>14</v>
      </c>
    </row>
    <row r="195" spans="1:9" x14ac:dyDescent="0.4">
      <c r="A195" s="14">
        <v>44091</v>
      </c>
      <c r="B195" s="5">
        <v>19458</v>
      </c>
      <c r="C195" s="5" t="s">
        <v>29</v>
      </c>
      <c r="D195" s="5">
        <v>743</v>
      </c>
      <c r="E195" s="5">
        <v>2</v>
      </c>
      <c r="F195" s="5">
        <v>8</v>
      </c>
      <c r="G195" s="14">
        <v>32555</v>
      </c>
      <c r="H195" s="5">
        <v>722962</v>
      </c>
      <c r="I195" s="5" t="s">
        <v>17</v>
      </c>
    </row>
    <row r="196" spans="1:9" x14ac:dyDescent="0.4">
      <c r="A196" s="14">
        <v>44026</v>
      </c>
      <c r="B196" s="5">
        <v>77604</v>
      </c>
      <c r="C196" s="5" t="s">
        <v>16</v>
      </c>
      <c r="D196" s="5">
        <v>724</v>
      </c>
      <c r="E196" s="5">
        <v>1</v>
      </c>
      <c r="F196" s="5">
        <v>4</v>
      </c>
      <c r="G196" s="14">
        <v>33781</v>
      </c>
      <c r="H196" s="5">
        <v>749530</v>
      </c>
      <c r="I196" s="5" t="s">
        <v>17</v>
      </c>
    </row>
    <row r="197" spans="1:9" x14ac:dyDescent="0.4">
      <c r="A197" s="14">
        <v>43965</v>
      </c>
      <c r="B197" s="5">
        <v>84072</v>
      </c>
      <c r="C197" s="5" t="s">
        <v>29</v>
      </c>
      <c r="D197" s="5">
        <v>766</v>
      </c>
      <c r="E197" s="5">
        <v>4</v>
      </c>
      <c r="F197" s="5">
        <v>5</v>
      </c>
      <c r="G197" s="14">
        <v>32580</v>
      </c>
      <c r="H197" s="5">
        <v>788515</v>
      </c>
      <c r="I197" s="5" t="s">
        <v>10</v>
      </c>
    </row>
    <row r="198" spans="1:9" x14ac:dyDescent="0.4">
      <c r="A198" s="14">
        <v>44175</v>
      </c>
      <c r="B198" s="5">
        <v>16009</v>
      </c>
      <c r="C198" s="5" t="s">
        <v>31</v>
      </c>
      <c r="D198" s="5">
        <v>729</v>
      </c>
      <c r="E198" s="5">
        <v>3</v>
      </c>
      <c r="F198" s="5">
        <v>9</v>
      </c>
      <c r="G198" s="14">
        <v>32621</v>
      </c>
      <c r="H198" s="5">
        <v>526025</v>
      </c>
      <c r="I198" s="5" t="s">
        <v>10</v>
      </c>
    </row>
    <row r="199" spans="1:9" x14ac:dyDescent="0.4">
      <c r="A199" s="14">
        <v>43864</v>
      </c>
      <c r="B199" s="5">
        <v>85826</v>
      </c>
      <c r="C199" s="5" t="s">
        <v>31</v>
      </c>
      <c r="D199" s="5">
        <v>754</v>
      </c>
      <c r="E199" s="5">
        <v>5</v>
      </c>
      <c r="F199" s="5">
        <v>1</v>
      </c>
      <c r="G199" s="14">
        <v>29288</v>
      </c>
      <c r="H199" s="5">
        <v>747215</v>
      </c>
      <c r="I199" s="5" t="s">
        <v>14</v>
      </c>
    </row>
    <row r="200" spans="1:9" x14ac:dyDescent="0.4">
      <c r="A200" s="14">
        <v>44165</v>
      </c>
      <c r="B200" s="5">
        <v>36067</v>
      </c>
      <c r="C200" s="5" t="s">
        <v>9</v>
      </c>
      <c r="D200" s="5">
        <v>724</v>
      </c>
      <c r="E200" s="5">
        <v>2</v>
      </c>
      <c r="F200" s="5">
        <v>6</v>
      </c>
      <c r="G200" s="14">
        <v>31204</v>
      </c>
      <c r="H200" s="5">
        <v>874441</v>
      </c>
      <c r="I200" s="5" t="s">
        <v>17</v>
      </c>
    </row>
    <row r="201" spans="1:9" x14ac:dyDescent="0.4">
      <c r="A201" s="14">
        <v>44022</v>
      </c>
      <c r="B201" s="5">
        <v>66036</v>
      </c>
      <c r="C201" s="5" t="s">
        <v>27</v>
      </c>
      <c r="D201" s="5">
        <v>792</v>
      </c>
      <c r="E201" s="5">
        <v>4</v>
      </c>
      <c r="F201" s="5">
        <v>7</v>
      </c>
      <c r="G201" s="14">
        <v>31795</v>
      </c>
      <c r="H201" s="5">
        <v>679361</v>
      </c>
      <c r="I201" s="5" t="s">
        <v>17</v>
      </c>
    </row>
    <row r="202" spans="1:9" x14ac:dyDescent="0.4">
      <c r="A202" s="14">
        <v>44120</v>
      </c>
      <c r="B202" s="5">
        <v>41046</v>
      </c>
      <c r="C202" s="5" t="s">
        <v>35</v>
      </c>
      <c r="D202" s="5">
        <v>734</v>
      </c>
      <c r="E202" s="5">
        <v>2</v>
      </c>
      <c r="F202" s="5">
        <v>1</v>
      </c>
      <c r="G202" s="14">
        <v>31981</v>
      </c>
      <c r="H202" s="5">
        <v>509458</v>
      </c>
      <c r="I202" s="5" t="s">
        <v>17</v>
      </c>
    </row>
    <row r="203" spans="1:9" x14ac:dyDescent="0.4">
      <c r="A203" s="14">
        <v>43842</v>
      </c>
      <c r="B203" s="5">
        <v>64623</v>
      </c>
      <c r="C203" s="5" t="s">
        <v>28</v>
      </c>
      <c r="D203" s="5">
        <v>759</v>
      </c>
      <c r="E203" s="5">
        <v>1</v>
      </c>
      <c r="F203" s="5">
        <v>1</v>
      </c>
      <c r="G203" s="14">
        <v>31717</v>
      </c>
      <c r="H203" s="5">
        <v>874108</v>
      </c>
      <c r="I203" s="5" t="s">
        <v>10</v>
      </c>
    </row>
    <row r="204" spans="1:9" x14ac:dyDescent="0.4">
      <c r="A204" s="14">
        <v>44091</v>
      </c>
      <c r="B204" s="5">
        <v>51441</v>
      </c>
      <c r="C204" s="5" t="s">
        <v>13</v>
      </c>
      <c r="D204" s="5">
        <v>762</v>
      </c>
      <c r="E204" s="5">
        <v>4</v>
      </c>
      <c r="F204" s="5">
        <v>6</v>
      </c>
      <c r="G204" s="14">
        <v>34077</v>
      </c>
      <c r="H204" s="5">
        <v>957814</v>
      </c>
      <c r="I204" s="5" t="s">
        <v>10</v>
      </c>
    </row>
    <row r="205" spans="1:9" x14ac:dyDescent="0.4">
      <c r="A205" s="14">
        <v>44093</v>
      </c>
      <c r="B205" s="5">
        <v>92190</v>
      </c>
      <c r="C205" s="5" t="s">
        <v>20</v>
      </c>
      <c r="D205" s="5">
        <v>734</v>
      </c>
      <c r="E205" s="5">
        <v>4</v>
      </c>
      <c r="F205" s="5">
        <v>10</v>
      </c>
      <c r="G205" s="14">
        <v>31247</v>
      </c>
      <c r="H205" s="5">
        <v>587194</v>
      </c>
      <c r="I205" s="5" t="s">
        <v>10</v>
      </c>
    </row>
    <row r="206" spans="1:9" x14ac:dyDescent="0.4">
      <c r="A206" s="14">
        <v>44166</v>
      </c>
      <c r="B206" s="5">
        <v>47213</v>
      </c>
      <c r="C206" s="5" t="s">
        <v>9</v>
      </c>
      <c r="D206" s="5">
        <v>751</v>
      </c>
      <c r="E206" s="5">
        <v>3</v>
      </c>
      <c r="F206" s="5">
        <v>8</v>
      </c>
      <c r="G206" s="14">
        <v>31422</v>
      </c>
      <c r="H206" s="5">
        <v>695601</v>
      </c>
      <c r="I206" s="5" t="s">
        <v>14</v>
      </c>
    </row>
    <row r="207" spans="1:9" x14ac:dyDescent="0.4">
      <c r="A207" s="14">
        <v>44127</v>
      </c>
      <c r="B207" s="5">
        <v>40265</v>
      </c>
      <c r="C207" s="5" t="s">
        <v>9</v>
      </c>
      <c r="D207" s="5">
        <v>711</v>
      </c>
      <c r="E207" s="5">
        <v>5</v>
      </c>
      <c r="F207" s="5">
        <v>6</v>
      </c>
      <c r="G207" s="14">
        <v>33917</v>
      </c>
      <c r="H207" s="5">
        <v>514501</v>
      </c>
      <c r="I207" s="5" t="s">
        <v>10</v>
      </c>
    </row>
    <row r="208" spans="1:9" x14ac:dyDescent="0.4">
      <c r="A208" s="14">
        <v>44125</v>
      </c>
      <c r="B208" s="5">
        <v>49338</v>
      </c>
      <c r="C208" s="5" t="s">
        <v>11</v>
      </c>
      <c r="D208" s="5">
        <v>746</v>
      </c>
      <c r="E208" s="5">
        <v>4</v>
      </c>
      <c r="F208" s="5">
        <v>7</v>
      </c>
      <c r="G208" s="14">
        <v>34061</v>
      </c>
      <c r="H208" s="5">
        <v>809272</v>
      </c>
      <c r="I208" s="5" t="s">
        <v>17</v>
      </c>
    </row>
    <row r="209" spans="1:9" x14ac:dyDescent="0.4">
      <c r="A209" s="14">
        <v>44060</v>
      </c>
      <c r="B209" s="5">
        <v>58998</v>
      </c>
      <c r="C209" s="5" t="s">
        <v>28</v>
      </c>
      <c r="D209" s="5">
        <v>772</v>
      </c>
      <c r="E209" s="5">
        <v>2</v>
      </c>
      <c r="F209" s="5">
        <v>7</v>
      </c>
      <c r="G209" s="14">
        <v>30973</v>
      </c>
      <c r="H209" s="5">
        <v>663270</v>
      </c>
      <c r="I209" s="5" t="s">
        <v>14</v>
      </c>
    </row>
    <row r="210" spans="1:9" x14ac:dyDescent="0.4">
      <c r="A210" s="14">
        <v>43833</v>
      </c>
      <c r="B210" s="5">
        <v>71341</v>
      </c>
      <c r="C210" s="5" t="s">
        <v>32</v>
      </c>
      <c r="D210" s="5">
        <v>700</v>
      </c>
      <c r="E210" s="5">
        <v>4</v>
      </c>
      <c r="F210" s="5">
        <v>8</v>
      </c>
      <c r="G210" s="14">
        <v>33096</v>
      </c>
      <c r="H210" s="5">
        <v>548429</v>
      </c>
      <c r="I210" s="5" t="s">
        <v>14</v>
      </c>
    </row>
    <row r="211" spans="1:9" x14ac:dyDescent="0.4">
      <c r="A211" s="14">
        <v>43905</v>
      </c>
      <c r="B211" s="5">
        <v>13310</v>
      </c>
      <c r="C211" s="5" t="s">
        <v>24</v>
      </c>
      <c r="D211" s="5">
        <v>750</v>
      </c>
      <c r="E211" s="5">
        <v>1</v>
      </c>
      <c r="F211" s="5">
        <v>7</v>
      </c>
      <c r="G211" s="14">
        <v>33323</v>
      </c>
      <c r="H211" s="5">
        <v>878663</v>
      </c>
      <c r="I211" s="5" t="s">
        <v>17</v>
      </c>
    </row>
    <row r="212" spans="1:9" x14ac:dyDescent="0.4">
      <c r="A212" s="14">
        <v>43917</v>
      </c>
      <c r="B212" s="5">
        <v>97483</v>
      </c>
      <c r="C212" s="5" t="s">
        <v>21</v>
      </c>
      <c r="D212" s="5">
        <v>708</v>
      </c>
      <c r="E212" s="5">
        <v>3</v>
      </c>
      <c r="F212" s="5">
        <v>5</v>
      </c>
      <c r="G212" s="14">
        <v>33761</v>
      </c>
      <c r="H212" s="5">
        <v>819768</v>
      </c>
      <c r="I212" s="5" t="s">
        <v>17</v>
      </c>
    </row>
    <row r="213" spans="1:9" x14ac:dyDescent="0.4">
      <c r="A213" s="14">
        <v>43890</v>
      </c>
      <c r="B213" s="5">
        <v>42773</v>
      </c>
      <c r="C213" s="5" t="s">
        <v>29</v>
      </c>
      <c r="D213" s="5">
        <v>714</v>
      </c>
      <c r="E213" s="5">
        <v>1</v>
      </c>
      <c r="F213" s="5">
        <v>3</v>
      </c>
      <c r="G213" s="14">
        <v>31688</v>
      </c>
      <c r="H213" s="5">
        <v>782564</v>
      </c>
      <c r="I213" s="5" t="s">
        <v>14</v>
      </c>
    </row>
    <row r="214" spans="1:9" x14ac:dyDescent="0.4">
      <c r="A214" s="14">
        <v>44000</v>
      </c>
      <c r="B214" s="5">
        <v>47900</v>
      </c>
      <c r="C214" s="5" t="s">
        <v>34</v>
      </c>
      <c r="D214" s="5">
        <v>713</v>
      </c>
      <c r="E214" s="5">
        <v>2</v>
      </c>
      <c r="F214" s="5">
        <v>3</v>
      </c>
      <c r="G214" s="14">
        <v>31339</v>
      </c>
      <c r="H214" s="5">
        <v>789114</v>
      </c>
      <c r="I214" s="5" t="s">
        <v>10</v>
      </c>
    </row>
    <row r="215" spans="1:9" x14ac:dyDescent="0.4">
      <c r="A215" s="14">
        <v>43952</v>
      </c>
      <c r="B215" s="5">
        <v>26257</v>
      </c>
      <c r="C215" s="5" t="s">
        <v>23</v>
      </c>
      <c r="D215" s="5">
        <v>778</v>
      </c>
      <c r="E215" s="5">
        <v>3</v>
      </c>
      <c r="F215" s="5">
        <v>4</v>
      </c>
      <c r="G215" s="14">
        <v>34167</v>
      </c>
      <c r="H215" s="5">
        <v>716401</v>
      </c>
      <c r="I215" s="5" t="s">
        <v>17</v>
      </c>
    </row>
    <row r="216" spans="1:9" x14ac:dyDescent="0.4">
      <c r="A216" s="14">
        <v>43915</v>
      </c>
      <c r="B216" s="5">
        <v>42871</v>
      </c>
      <c r="C216" s="5" t="s">
        <v>28</v>
      </c>
      <c r="D216" s="5">
        <v>718</v>
      </c>
      <c r="E216" s="5">
        <v>3</v>
      </c>
      <c r="F216" s="5">
        <v>7</v>
      </c>
      <c r="G216" s="14">
        <v>31331</v>
      </c>
      <c r="H216" s="5">
        <v>762595</v>
      </c>
      <c r="I216" s="5" t="s">
        <v>14</v>
      </c>
    </row>
    <row r="217" spans="1:9" x14ac:dyDescent="0.4">
      <c r="A217" s="14">
        <v>44057</v>
      </c>
      <c r="B217" s="5">
        <v>56883</v>
      </c>
      <c r="C217" s="5" t="s">
        <v>22</v>
      </c>
      <c r="D217" s="5">
        <v>725</v>
      </c>
      <c r="E217" s="5">
        <v>2</v>
      </c>
      <c r="F217" s="5">
        <v>6</v>
      </c>
      <c r="G217" s="14">
        <v>31596</v>
      </c>
      <c r="H217" s="5">
        <v>870920</v>
      </c>
      <c r="I217" s="5" t="s">
        <v>14</v>
      </c>
    </row>
    <row r="218" spans="1:9" x14ac:dyDescent="0.4">
      <c r="A218" s="14">
        <v>43927</v>
      </c>
      <c r="B218" s="5">
        <v>89773</v>
      </c>
      <c r="C218" s="5" t="s">
        <v>24</v>
      </c>
      <c r="D218" s="5">
        <v>756</v>
      </c>
      <c r="E218" s="5">
        <v>3</v>
      </c>
      <c r="F218" s="5">
        <v>7</v>
      </c>
      <c r="G218" s="14">
        <v>32261</v>
      </c>
      <c r="H218" s="5">
        <v>664462</v>
      </c>
      <c r="I218" s="5" t="s">
        <v>10</v>
      </c>
    </row>
    <row r="219" spans="1:9" x14ac:dyDescent="0.4">
      <c r="A219" s="14">
        <v>43984</v>
      </c>
      <c r="B219" s="5">
        <v>52756</v>
      </c>
      <c r="C219" s="5" t="s">
        <v>16</v>
      </c>
      <c r="D219" s="5">
        <v>710</v>
      </c>
      <c r="E219" s="5">
        <v>5</v>
      </c>
      <c r="F219" s="5">
        <v>9</v>
      </c>
      <c r="G219" s="14">
        <v>32738</v>
      </c>
      <c r="H219" s="5">
        <v>801711</v>
      </c>
      <c r="I219" s="5" t="s">
        <v>14</v>
      </c>
    </row>
    <row r="220" spans="1:9" x14ac:dyDescent="0.4">
      <c r="A220" s="14">
        <v>44154</v>
      </c>
      <c r="B220" s="5">
        <v>45544</v>
      </c>
      <c r="C220" s="5" t="s">
        <v>18</v>
      </c>
      <c r="D220" s="5">
        <v>739</v>
      </c>
      <c r="E220" s="5">
        <v>3</v>
      </c>
      <c r="F220" s="5">
        <v>8</v>
      </c>
      <c r="G220" s="14">
        <v>33326</v>
      </c>
      <c r="H220" s="5">
        <v>904091</v>
      </c>
      <c r="I220" s="5" t="s">
        <v>14</v>
      </c>
    </row>
    <row r="221" spans="1:9" x14ac:dyDescent="0.4">
      <c r="A221" s="14">
        <v>44083</v>
      </c>
      <c r="B221" s="5">
        <v>87871</v>
      </c>
      <c r="C221" s="5" t="s">
        <v>19</v>
      </c>
      <c r="D221" s="5">
        <v>754</v>
      </c>
      <c r="E221" s="5">
        <v>5</v>
      </c>
      <c r="F221" s="5">
        <v>4</v>
      </c>
      <c r="G221" s="14">
        <v>30590</v>
      </c>
      <c r="H221" s="5">
        <v>950799</v>
      </c>
      <c r="I221" s="5" t="s">
        <v>14</v>
      </c>
    </row>
    <row r="222" spans="1:9" x14ac:dyDescent="0.4">
      <c r="A222" s="14">
        <v>44005</v>
      </c>
      <c r="B222" s="5">
        <v>49718</v>
      </c>
      <c r="C222" s="5" t="s">
        <v>35</v>
      </c>
      <c r="D222" s="5">
        <v>791</v>
      </c>
      <c r="E222" s="5">
        <v>3</v>
      </c>
      <c r="F222" s="5">
        <v>6</v>
      </c>
      <c r="G222" s="14">
        <v>33711</v>
      </c>
      <c r="H222" s="5">
        <v>746853</v>
      </c>
      <c r="I222" s="5" t="s">
        <v>14</v>
      </c>
    </row>
    <row r="223" spans="1:9" x14ac:dyDescent="0.4">
      <c r="A223" s="14">
        <v>44028</v>
      </c>
      <c r="B223" s="5">
        <v>95002</v>
      </c>
      <c r="C223" s="5" t="s">
        <v>32</v>
      </c>
      <c r="D223" s="5">
        <v>768</v>
      </c>
      <c r="E223" s="5">
        <v>3</v>
      </c>
      <c r="F223" s="5">
        <v>4</v>
      </c>
      <c r="G223" s="14">
        <v>31099</v>
      </c>
      <c r="H223" s="5">
        <v>804508</v>
      </c>
      <c r="I223" s="5" t="s">
        <v>14</v>
      </c>
    </row>
    <row r="224" spans="1:9" x14ac:dyDescent="0.4">
      <c r="A224" s="14">
        <v>43858</v>
      </c>
      <c r="B224" s="5">
        <v>33261</v>
      </c>
      <c r="C224" s="5" t="s">
        <v>31</v>
      </c>
      <c r="D224" s="5">
        <v>767</v>
      </c>
      <c r="E224" s="5">
        <v>2</v>
      </c>
      <c r="F224" s="5">
        <v>6</v>
      </c>
      <c r="G224" s="14">
        <v>34691</v>
      </c>
      <c r="H224" s="5">
        <v>590668</v>
      </c>
      <c r="I224" s="5" t="s">
        <v>14</v>
      </c>
    </row>
    <row r="225" spans="1:9" x14ac:dyDescent="0.4">
      <c r="A225" s="14">
        <v>43894</v>
      </c>
      <c r="B225" s="5">
        <v>73294</v>
      </c>
      <c r="C225" s="5" t="s">
        <v>26</v>
      </c>
      <c r="D225" s="5">
        <v>800</v>
      </c>
      <c r="E225" s="5">
        <v>5</v>
      </c>
      <c r="F225" s="5">
        <v>3</v>
      </c>
      <c r="G225" s="14">
        <v>33669</v>
      </c>
      <c r="H225" s="5">
        <v>642085</v>
      </c>
      <c r="I225" s="5" t="s">
        <v>17</v>
      </c>
    </row>
    <row r="226" spans="1:9" x14ac:dyDescent="0.4">
      <c r="A226" s="14">
        <v>44147</v>
      </c>
      <c r="B226" s="5">
        <v>48447</v>
      </c>
      <c r="C226" s="5" t="s">
        <v>23</v>
      </c>
      <c r="D226" s="5">
        <v>753</v>
      </c>
      <c r="E226" s="5">
        <v>2</v>
      </c>
      <c r="F226" s="5">
        <v>3</v>
      </c>
      <c r="G226" s="14">
        <v>30746</v>
      </c>
      <c r="H226" s="5">
        <v>827902</v>
      </c>
      <c r="I226" s="5" t="s">
        <v>14</v>
      </c>
    </row>
    <row r="227" spans="1:9" x14ac:dyDescent="0.4">
      <c r="A227" s="14">
        <v>43947</v>
      </c>
      <c r="B227" s="5">
        <v>64135</v>
      </c>
      <c r="C227" s="5" t="s">
        <v>28</v>
      </c>
      <c r="D227" s="5">
        <v>707</v>
      </c>
      <c r="E227" s="5">
        <v>5</v>
      </c>
      <c r="F227" s="5">
        <v>2</v>
      </c>
      <c r="G227" s="14">
        <v>30465</v>
      </c>
      <c r="H227" s="5">
        <v>926909</v>
      </c>
      <c r="I227" s="5" t="s">
        <v>17</v>
      </c>
    </row>
    <row r="228" spans="1:9" x14ac:dyDescent="0.4">
      <c r="A228" s="14">
        <v>44082</v>
      </c>
      <c r="B228" s="5">
        <v>75746</v>
      </c>
      <c r="C228" s="5" t="s">
        <v>12</v>
      </c>
      <c r="D228" s="5">
        <v>725</v>
      </c>
      <c r="E228" s="5">
        <v>4</v>
      </c>
      <c r="F228" s="5">
        <v>8</v>
      </c>
      <c r="G228" s="14">
        <v>30388</v>
      </c>
      <c r="H228" s="5">
        <v>932068</v>
      </c>
      <c r="I228" s="5" t="s">
        <v>10</v>
      </c>
    </row>
    <row r="229" spans="1:9" x14ac:dyDescent="0.4">
      <c r="A229" s="14">
        <v>44148</v>
      </c>
      <c r="B229" s="5">
        <v>59661</v>
      </c>
      <c r="C229" s="5" t="s">
        <v>30</v>
      </c>
      <c r="D229" s="5">
        <v>743</v>
      </c>
      <c r="E229" s="5">
        <v>2</v>
      </c>
      <c r="F229" s="5">
        <v>1</v>
      </c>
      <c r="G229" s="14">
        <v>32349</v>
      </c>
      <c r="H229" s="5">
        <v>680509</v>
      </c>
      <c r="I229" s="5" t="s">
        <v>10</v>
      </c>
    </row>
    <row r="230" spans="1:9" x14ac:dyDescent="0.4">
      <c r="A230" s="14">
        <v>43885</v>
      </c>
      <c r="B230" s="5">
        <v>13915</v>
      </c>
      <c r="C230" s="5" t="s">
        <v>25</v>
      </c>
      <c r="D230" s="5">
        <v>712</v>
      </c>
      <c r="E230" s="5">
        <v>2</v>
      </c>
      <c r="F230" s="5">
        <v>7</v>
      </c>
      <c r="G230" s="14">
        <v>29392</v>
      </c>
      <c r="H230" s="5">
        <v>532527</v>
      </c>
      <c r="I230" s="5" t="s">
        <v>10</v>
      </c>
    </row>
    <row r="231" spans="1:9" x14ac:dyDescent="0.4">
      <c r="A231" s="14">
        <v>43874</v>
      </c>
      <c r="B231" s="5">
        <v>86610</v>
      </c>
      <c r="C231" s="5" t="s">
        <v>21</v>
      </c>
      <c r="D231" s="5">
        <v>727</v>
      </c>
      <c r="E231" s="5">
        <v>3</v>
      </c>
      <c r="F231" s="5">
        <v>9</v>
      </c>
      <c r="G231" s="14">
        <v>32103</v>
      </c>
      <c r="H231" s="5">
        <v>828115</v>
      </c>
      <c r="I231" s="5" t="s">
        <v>10</v>
      </c>
    </row>
    <row r="232" spans="1:9" x14ac:dyDescent="0.4">
      <c r="A232" s="14">
        <v>44095</v>
      </c>
      <c r="B232" s="5">
        <v>57481</v>
      </c>
      <c r="C232" s="5" t="s">
        <v>12</v>
      </c>
      <c r="D232" s="5">
        <v>798</v>
      </c>
      <c r="E232" s="5">
        <v>2</v>
      </c>
      <c r="F232" s="5">
        <v>5</v>
      </c>
      <c r="G232" s="14">
        <v>30412</v>
      </c>
      <c r="H232" s="5">
        <v>964222</v>
      </c>
      <c r="I232" s="5" t="s">
        <v>14</v>
      </c>
    </row>
    <row r="233" spans="1:9" x14ac:dyDescent="0.4">
      <c r="A233" s="14">
        <v>44044</v>
      </c>
      <c r="B233" s="5">
        <v>78269</v>
      </c>
      <c r="C233" s="5" t="s">
        <v>28</v>
      </c>
      <c r="D233" s="5">
        <v>728</v>
      </c>
      <c r="E233" s="5">
        <v>5</v>
      </c>
      <c r="F233" s="5">
        <v>3</v>
      </c>
      <c r="G233" s="14">
        <v>29767</v>
      </c>
      <c r="H233" s="5">
        <v>626846</v>
      </c>
      <c r="I233" s="5" t="s">
        <v>17</v>
      </c>
    </row>
    <row r="234" spans="1:9" x14ac:dyDescent="0.4">
      <c r="A234" s="14">
        <v>43852</v>
      </c>
      <c r="B234" s="5">
        <v>18296</v>
      </c>
      <c r="C234" s="5" t="s">
        <v>12</v>
      </c>
      <c r="D234" s="5">
        <v>706</v>
      </c>
      <c r="E234" s="5">
        <v>5</v>
      </c>
      <c r="F234" s="5">
        <v>9</v>
      </c>
      <c r="G234" s="14">
        <v>31983</v>
      </c>
      <c r="H234" s="5">
        <v>689432</v>
      </c>
      <c r="I234" s="5" t="s">
        <v>14</v>
      </c>
    </row>
    <row r="235" spans="1:9" x14ac:dyDescent="0.4">
      <c r="A235" s="14">
        <v>44005</v>
      </c>
      <c r="B235" s="5">
        <v>10540</v>
      </c>
      <c r="C235" s="5" t="s">
        <v>28</v>
      </c>
      <c r="D235" s="5">
        <v>792</v>
      </c>
      <c r="E235" s="5">
        <v>1</v>
      </c>
      <c r="F235" s="5">
        <v>2</v>
      </c>
      <c r="G235" s="14">
        <v>30635</v>
      </c>
      <c r="H235" s="5">
        <v>845416</v>
      </c>
      <c r="I235" s="5" t="s">
        <v>17</v>
      </c>
    </row>
    <row r="236" spans="1:9" x14ac:dyDescent="0.4">
      <c r="A236" s="14">
        <v>44165</v>
      </c>
      <c r="B236" s="5">
        <v>12777</v>
      </c>
      <c r="C236" s="5" t="s">
        <v>31</v>
      </c>
      <c r="D236" s="5">
        <v>785</v>
      </c>
      <c r="E236" s="5">
        <v>2</v>
      </c>
      <c r="F236" s="5">
        <v>2</v>
      </c>
      <c r="G236" s="14">
        <v>32989</v>
      </c>
      <c r="H236" s="5">
        <v>629797</v>
      </c>
      <c r="I236" s="5" t="s">
        <v>10</v>
      </c>
    </row>
    <row r="237" spans="1:9" x14ac:dyDescent="0.4">
      <c r="A237" s="14">
        <v>44084</v>
      </c>
      <c r="B237" s="5">
        <v>38488</v>
      </c>
      <c r="C237" s="5" t="s">
        <v>22</v>
      </c>
      <c r="D237" s="5">
        <v>733</v>
      </c>
      <c r="E237" s="5">
        <v>5</v>
      </c>
      <c r="F237" s="5">
        <v>6</v>
      </c>
      <c r="G237" s="14">
        <v>34263</v>
      </c>
      <c r="H237" s="5">
        <v>649924</v>
      </c>
      <c r="I237" s="5" t="s">
        <v>14</v>
      </c>
    </row>
    <row r="238" spans="1:9" x14ac:dyDescent="0.4">
      <c r="A238" s="14">
        <v>44165</v>
      </c>
      <c r="B238" s="5">
        <v>96429</v>
      </c>
      <c r="C238" s="5" t="s">
        <v>33</v>
      </c>
      <c r="D238" s="5">
        <v>800</v>
      </c>
      <c r="E238" s="5">
        <v>4</v>
      </c>
      <c r="F238" s="5">
        <v>10</v>
      </c>
      <c r="G238" s="14">
        <v>32593</v>
      </c>
      <c r="H238" s="5">
        <v>604205</v>
      </c>
      <c r="I238" s="5" t="s">
        <v>17</v>
      </c>
    </row>
    <row r="239" spans="1:9" x14ac:dyDescent="0.4">
      <c r="A239" s="14">
        <v>44011</v>
      </c>
      <c r="B239" s="5">
        <v>62361</v>
      </c>
      <c r="C239" s="5" t="s">
        <v>34</v>
      </c>
      <c r="D239" s="5">
        <v>732</v>
      </c>
      <c r="E239" s="5">
        <v>2</v>
      </c>
      <c r="F239" s="5">
        <v>5</v>
      </c>
      <c r="G239" s="14">
        <v>31552</v>
      </c>
      <c r="H239" s="5">
        <v>558654</v>
      </c>
      <c r="I239" s="5" t="s">
        <v>17</v>
      </c>
    </row>
    <row r="240" spans="1:9" x14ac:dyDescent="0.4">
      <c r="A240" s="14">
        <v>44070</v>
      </c>
      <c r="B240" s="5">
        <v>58389</v>
      </c>
      <c r="C240" s="5" t="s">
        <v>34</v>
      </c>
      <c r="D240" s="5">
        <v>734</v>
      </c>
      <c r="E240" s="5">
        <v>1</v>
      </c>
      <c r="F240" s="5">
        <v>7</v>
      </c>
      <c r="G240" s="14">
        <v>29594</v>
      </c>
      <c r="H240" s="5">
        <v>694705</v>
      </c>
      <c r="I240" s="5" t="s">
        <v>17</v>
      </c>
    </row>
    <row r="241" spans="1:9" x14ac:dyDescent="0.4">
      <c r="A241" s="14">
        <v>44065</v>
      </c>
      <c r="B241" s="5">
        <v>18563</v>
      </c>
      <c r="C241" s="5" t="s">
        <v>28</v>
      </c>
      <c r="D241" s="5">
        <v>730</v>
      </c>
      <c r="E241" s="5">
        <v>2</v>
      </c>
      <c r="F241" s="5">
        <v>10</v>
      </c>
      <c r="G241" s="14">
        <v>32016</v>
      </c>
      <c r="H241" s="5">
        <v>566400</v>
      </c>
      <c r="I241" s="5" t="s">
        <v>17</v>
      </c>
    </row>
    <row r="242" spans="1:9" x14ac:dyDescent="0.4">
      <c r="A242" s="14">
        <v>43842</v>
      </c>
      <c r="B242" s="5">
        <v>27941</v>
      </c>
      <c r="C242" s="5" t="s">
        <v>22</v>
      </c>
      <c r="D242" s="5">
        <v>729</v>
      </c>
      <c r="E242" s="5">
        <v>1</v>
      </c>
      <c r="F242" s="5">
        <v>2</v>
      </c>
      <c r="G242" s="14">
        <v>30354</v>
      </c>
      <c r="H242" s="5">
        <v>566128</v>
      </c>
      <c r="I242" s="5" t="s">
        <v>14</v>
      </c>
    </row>
    <row r="243" spans="1:9" x14ac:dyDescent="0.4">
      <c r="A243" s="14">
        <v>44108</v>
      </c>
      <c r="B243" s="5">
        <v>18719</v>
      </c>
      <c r="C243" s="5" t="s">
        <v>26</v>
      </c>
      <c r="D243" s="5">
        <v>798</v>
      </c>
      <c r="E243" s="5">
        <v>5</v>
      </c>
      <c r="F243" s="5">
        <v>1</v>
      </c>
      <c r="G243" s="14">
        <v>31544</v>
      </c>
      <c r="H243" s="5">
        <v>663937</v>
      </c>
      <c r="I243" s="5" t="s">
        <v>10</v>
      </c>
    </row>
    <row r="244" spans="1:9" x14ac:dyDescent="0.4">
      <c r="A244" s="14">
        <v>43873</v>
      </c>
      <c r="B244" s="5">
        <v>66252</v>
      </c>
      <c r="C244" s="5" t="s">
        <v>33</v>
      </c>
      <c r="D244" s="5">
        <v>720</v>
      </c>
      <c r="E244" s="5">
        <v>2</v>
      </c>
      <c r="F244" s="5">
        <v>1</v>
      </c>
      <c r="G244" s="14">
        <v>30128</v>
      </c>
      <c r="H244" s="5">
        <v>998053</v>
      </c>
      <c r="I244" s="5" t="s">
        <v>14</v>
      </c>
    </row>
    <row r="245" spans="1:9" x14ac:dyDescent="0.4">
      <c r="A245" s="14">
        <v>44029</v>
      </c>
      <c r="B245" s="5">
        <v>31301</v>
      </c>
      <c r="C245" s="5" t="s">
        <v>21</v>
      </c>
      <c r="D245" s="5">
        <v>733</v>
      </c>
      <c r="E245" s="5">
        <v>1</v>
      </c>
      <c r="F245" s="5">
        <v>6</v>
      </c>
      <c r="G245" s="14">
        <v>34113</v>
      </c>
      <c r="H245" s="5">
        <v>708004</v>
      </c>
      <c r="I245" s="5" t="s">
        <v>14</v>
      </c>
    </row>
    <row r="246" spans="1:9" x14ac:dyDescent="0.4">
      <c r="A246" s="14">
        <v>43831</v>
      </c>
      <c r="B246" s="5">
        <v>45985</v>
      </c>
      <c r="C246" s="5" t="s">
        <v>32</v>
      </c>
      <c r="D246" s="5">
        <v>727</v>
      </c>
      <c r="E246" s="5">
        <v>3</v>
      </c>
      <c r="F246" s="5">
        <v>2</v>
      </c>
      <c r="G246" s="14">
        <v>33053</v>
      </c>
      <c r="H246" s="5">
        <v>878224</v>
      </c>
      <c r="I246" s="5" t="s">
        <v>14</v>
      </c>
    </row>
    <row r="247" spans="1:9" x14ac:dyDescent="0.4">
      <c r="A247" s="14">
        <v>43989</v>
      </c>
      <c r="B247" s="5">
        <v>73036</v>
      </c>
      <c r="C247" s="5" t="s">
        <v>30</v>
      </c>
      <c r="D247" s="5">
        <v>756</v>
      </c>
      <c r="E247" s="5">
        <v>1</v>
      </c>
      <c r="F247" s="5">
        <v>4</v>
      </c>
      <c r="G247" s="14">
        <v>31346</v>
      </c>
      <c r="H247" s="5">
        <v>522993</v>
      </c>
      <c r="I247" s="5" t="s">
        <v>14</v>
      </c>
    </row>
    <row r="248" spans="1:9" x14ac:dyDescent="0.4">
      <c r="A248" s="14">
        <v>43916</v>
      </c>
      <c r="B248" s="5">
        <v>87856</v>
      </c>
      <c r="C248" s="5" t="s">
        <v>30</v>
      </c>
      <c r="D248" s="5">
        <v>709</v>
      </c>
      <c r="E248" s="5">
        <v>1</v>
      </c>
      <c r="F248" s="5">
        <v>6</v>
      </c>
      <c r="G248" s="14">
        <v>34405</v>
      </c>
      <c r="H248" s="5">
        <v>976648</v>
      </c>
      <c r="I248" s="5" t="s">
        <v>17</v>
      </c>
    </row>
    <row r="249" spans="1:9" x14ac:dyDescent="0.4">
      <c r="A249" s="14">
        <v>44096</v>
      </c>
      <c r="B249" s="5">
        <v>13688</v>
      </c>
      <c r="C249" s="5" t="s">
        <v>24</v>
      </c>
      <c r="D249" s="5">
        <v>781</v>
      </c>
      <c r="E249" s="5">
        <v>4</v>
      </c>
      <c r="F249" s="5">
        <v>10</v>
      </c>
      <c r="G249" s="14">
        <v>32314</v>
      </c>
      <c r="H249" s="5">
        <v>711385</v>
      </c>
      <c r="I249" s="5" t="s">
        <v>17</v>
      </c>
    </row>
    <row r="250" spans="1:9" x14ac:dyDescent="0.4">
      <c r="A250" s="14">
        <v>44060</v>
      </c>
      <c r="B250" s="5">
        <v>59416</v>
      </c>
      <c r="C250" s="5" t="s">
        <v>32</v>
      </c>
      <c r="D250" s="5">
        <v>735</v>
      </c>
      <c r="E250" s="5">
        <v>1</v>
      </c>
      <c r="F250" s="5">
        <v>9</v>
      </c>
      <c r="G250" s="14">
        <v>32376</v>
      </c>
      <c r="H250" s="5">
        <v>893259</v>
      </c>
      <c r="I250" s="5" t="s">
        <v>14</v>
      </c>
    </row>
    <row r="251" spans="1:9" x14ac:dyDescent="0.4">
      <c r="A251" s="14">
        <v>43948</v>
      </c>
      <c r="B251" s="5">
        <v>17176</v>
      </c>
      <c r="C251" s="5" t="s">
        <v>19</v>
      </c>
      <c r="D251" s="5">
        <v>774</v>
      </c>
      <c r="E251" s="5">
        <v>1</v>
      </c>
      <c r="F251" s="5">
        <v>4</v>
      </c>
      <c r="G251" s="14">
        <v>30684</v>
      </c>
      <c r="H251" s="5">
        <v>700475</v>
      </c>
      <c r="I251" s="5" t="s">
        <v>10</v>
      </c>
    </row>
    <row r="252" spans="1:9" x14ac:dyDescent="0.4">
      <c r="A252" s="14">
        <v>44156</v>
      </c>
      <c r="B252" s="5">
        <v>48314</v>
      </c>
      <c r="C252" s="5" t="s">
        <v>15</v>
      </c>
      <c r="D252" s="5">
        <v>741</v>
      </c>
      <c r="E252" s="5">
        <v>2</v>
      </c>
      <c r="F252" s="5">
        <v>5</v>
      </c>
      <c r="G252" s="14">
        <v>32729</v>
      </c>
      <c r="H252" s="5">
        <v>975582</v>
      </c>
      <c r="I252" s="5" t="s">
        <v>14</v>
      </c>
    </row>
    <row r="253" spans="1:9" x14ac:dyDescent="0.4">
      <c r="A253" s="14">
        <v>44117</v>
      </c>
      <c r="B253" s="5">
        <v>40553</v>
      </c>
      <c r="C253" s="5" t="s">
        <v>24</v>
      </c>
      <c r="D253" s="5">
        <v>714</v>
      </c>
      <c r="E253" s="5">
        <v>1</v>
      </c>
      <c r="F253" s="5">
        <v>9</v>
      </c>
      <c r="G253" s="14">
        <v>34064</v>
      </c>
      <c r="H253" s="5">
        <v>666637</v>
      </c>
      <c r="I253" s="5" t="s">
        <v>17</v>
      </c>
    </row>
    <row r="254" spans="1:9" x14ac:dyDescent="0.4">
      <c r="A254" s="14">
        <v>44025</v>
      </c>
      <c r="B254" s="5">
        <v>92451</v>
      </c>
      <c r="C254" s="5" t="s">
        <v>24</v>
      </c>
      <c r="D254" s="5">
        <v>724</v>
      </c>
      <c r="E254" s="5">
        <v>1</v>
      </c>
      <c r="F254" s="5">
        <v>6</v>
      </c>
      <c r="G254" s="14">
        <v>32007</v>
      </c>
      <c r="H254" s="5">
        <v>984971</v>
      </c>
      <c r="I254" s="5" t="s">
        <v>10</v>
      </c>
    </row>
    <row r="255" spans="1:9" x14ac:dyDescent="0.4">
      <c r="A255" s="14">
        <v>44161</v>
      </c>
      <c r="B255" s="5">
        <v>93809</v>
      </c>
      <c r="C255" s="5" t="s">
        <v>33</v>
      </c>
      <c r="D255" s="5">
        <v>756</v>
      </c>
      <c r="E255" s="5">
        <v>5</v>
      </c>
      <c r="F255" s="5">
        <v>2</v>
      </c>
      <c r="G255" s="14">
        <v>32884</v>
      </c>
      <c r="H255" s="5">
        <v>717282</v>
      </c>
      <c r="I255" s="5" t="s">
        <v>10</v>
      </c>
    </row>
    <row r="256" spans="1:9" x14ac:dyDescent="0.4">
      <c r="A256" s="14">
        <v>43964</v>
      </c>
      <c r="B256" s="5">
        <v>96468</v>
      </c>
      <c r="C256" s="5" t="s">
        <v>21</v>
      </c>
      <c r="D256" s="5">
        <v>795</v>
      </c>
      <c r="E256" s="5">
        <v>5</v>
      </c>
      <c r="F256" s="5">
        <v>8</v>
      </c>
      <c r="G256" s="14">
        <v>34342</v>
      </c>
      <c r="H256" s="5">
        <v>738818</v>
      </c>
      <c r="I256" s="5" t="s">
        <v>17</v>
      </c>
    </row>
    <row r="257" spans="1:9" x14ac:dyDescent="0.4">
      <c r="A257" s="14">
        <v>44146</v>
      </c>
      <c r="B257" s="5">
        <v>94057</v>
      </c>
      <c r="C257" s="5" t="s">
        <v>24</v>
      </c>
      <c r="D257" s="5">
        <v>700</v>
      </c>
      <c r="E257" s="5">
        <v>3</v>
      </c>
      <c r="F257" s="5">
        <v>2</v>
      </c>
      <c r="G257" s="14">
        <v>32832</v>
      </c>
      <c r="H257" s="5">
        <v>868936</v>
      </c>
      <c r="I257" s="5" t="s">
        <v>14</v>
      </c>
    </row>
    <row r="258" spans="1:9" x14ac:dyDescent="0.4">
      <c r="A258" s="14">
        <v>43857</v>
      </c>
      <c r="B258" s="5">
        <v>82883</v>
      </c>
      <c r="C258" s="5" t="s">
        <v>29</v>
      </c>
      <c r="D258" s="5">
        <v>770</v>
      </c>
      <c r="E258" s="5">
        <v>4</v>
      </c>
      <c r="F258" s="5">
        <v>2</v>
      </c>
      <c r="G258" s="14">
        <v>33470</v>
      </c>
      <c r="H258" s="5">
        <v>604217</v>
      </c>
      <c r="I258" s="5" t="s">
        <v>14</v>
      </c>
    </row>
    <row r="259" spans="1:9" x14ac:dyDescent="0.4">
      <c r="A259" s="14">
        <v>43882</v>
      </c>
      <c r="B259" s="5">
        <v>66160</v>
      </c>
      <c r="C259" s="5" t="s">
        <v>9</v>
      </c>
      <c r="D259" s="5">
        <v>752</v>
      </c>
      <c r="E259" s="5">
        <v>4</v>
      </c>
      <c r="F259" s="5">
        <v>10</v>
      </c>
      <c r="G259" s="14">
        <v>29572</v>
      </c>
      <c r="H259" s="5">
        <v>911874</v>
      </c>
      <c r="I259" s="5" t="s">
        <v>17</v>
      </c>
    </row>
    <row r="260" spans="1:9" x14ac:dyDescent="0.4">
      <c r="A260" s="14">
        <v>43854</v>
      </c>
      <c r="B260" s="5">
        <v>42358</v>
      </c>
      <c r="C260" s="5" t="s">
        <v>18</v>
      </c>
      <c r="D260" s="5">
        <v>709</v>
      </c>
      <c r="E260" s="5">
        <v>5</v>
      </c>
      <c r="F260" s="5">
        <v>8</v>
      </c>
      <c r="G260" s="14">
        <v>31345</v>
      </c>
      <c r="H260" s="5">
        <v>909738</v>
      </c>
      <c r="I260" s="5" t="s">
        <v>10</v>
      </c>
    </row>
    <row r="261" spans="1:9" x14ac:dyDescent="0.4">
      <c r="A261" s="14">
        <v>43833</v>
      </c>
      <c r="B261" s="5">
        <v>29159</v>
      </c>
      <c r="C261" s="5" t="s">
        <v>30</v>
      </c>
      <c r="D261" s="5">
        <v>726</v>
      </c>
      <c r="E261" s="5">
        <v>3</v>
      </c>
      <c r="F261" s="5">
        <v>5</v>
      </c>
      <c r="G261" s="14">
        <v>31375</v>
      </c>
      <c r="H261" s="5">
        <v>519569</v>
      </c>
      <c r="I261" s="5" t="s">
        <v>14</v>
      </c>
    </row>
    <row r="262" spans="1:9" x14ac:dyDescent="0.4">
      <c r="A262" s="14">
        <v>44053</v>
      </c>
      <c r="B262" s="5">
        <v>69415</v>
      </c>
      <c r="C262" s="5" t="s">
        <v>32</v>
      </c>
      <c r="D262" s="5">
        <v>733</v>
      </c>
      <c r="E262" s="5">
        <v>1</v>
      </c>
      <c r="F262" s="5">
        <v>9</v>
      </c>
      <c r="G262" s="14">
        <v>30514</v>
      </c>
      <c r="H262" s="5">
        <v>999312</v>
      </c>
      <c r="I262" s="5" t="s">
        <v>14</v>
      </c>
    </row>
    <row r="263" spans="1:9" x14ac:dyDescent="0.4">
      <c r="A263" s="14">
        <v>43831</v>
      </c>
      <c r="B263" s="5">
        <v>44131</v>
      </c>
      <c r="C263" s="5" t="s">
        <v>30</v>
      </c>
      <c r="D263" s="5">
        <v>740</v>
      </c>
      <c r="E263" s="5">
        <v>4</v>
      </c>
      <c r="F263" s="5">
        <v>10</v>
      </c>
      <c r="G263" s="14">
        <v>29596</v>
      </c>
      <c r="H263" s="5">
        <v>562764</v>
      </c>
      <c r="I263" s="5" t="s">
        <v>17</v>
      </c>
    </row>
    <row r="264" spans="1:9" x14ac:dyDescent="0.4">
      <c r="A264" s="14">
        <v>44126</v>
      </c>
      <c r="B264" s="5">
        <v>77836</v>
      </c>
      <c r="C264" s="5" t="s">
        <v>13</v>
      </c>
      <c r="D264" s="5">
        <v>709</v>
      </c>
      <c r="E264" s="5">
        <v>2</v>
      </c>
      <c r="F264" s="5">
        <v>4</v>
      </c>
      <c r="G264" s="14">
        <v>31101</v>
      </c>
      <c r="H264" s="5">
        <v>534712</v>
      </c>
      <c r="I264" s="5" t="s">
        <v>10</v>
      </c>
    </row>
    <row r="265" spans="1:9" x14ac:dyDescent="0.4">
      <c r="A265" s="14">
        <v>44146</v>
      </c>
      <c r="B265" s="5">
        <v>96059</v>
      </c>
      <c r="C265" s="5" t="s">
        <v>24</v>
      </c>
      <c r="D265" s="5">
        <v>710</v>
      </c>
      <c r="E265" s="5">
        <v>2</v>
      </c>
      <c r="F265" s="5">
        <v>9</v>
      </c>
      <c r="G265" s="14">
        <v>34695</v>
      </c>
      <c r="H265" s="5">
        <v>694056</v>
      </c>
      <c r="I265" s="5" t="s">
        <v>14</v>
      </c>
    </row>
    <row r="266" spans="1:9" x14ac:dyDescent="0.4">
      <c r="A266" s="14">
        <v>43875</v>
      </c>
      <c r="B266" s="5">
        <v>34538</v>
      </c>
      <c r="C266" s="5" t="s">
        <v>25</v>
      </c>
      <c r="D266" s="5">
        <v>765</v>
      </c>
      <c r="E266" s="5">
        <v>2</v>
      </c>
      <c r="F266" s="5">
        <v>4</v>
      </c>
      <c r="G266" s="14">
        <v>31352</v>
      </c>
      <c r="H266" s="5">
        <v>903357</v>
      </c>
      <c r="I266" s="5" t="s">
        <v>10</v>
      </c>
    </row>
    <row r="267" spans="1:9" x14ac:dyDescent="0.4">
      <c r="A267" s="14">
        <v>44173</v>
      </c>
      <c r="B267" s="5">
        <v>92135</v>
      </c>
      <c r="C267" s="5" t="s">
        <v>13</v>
      </c>
      <c r="D267" s="5">
        <v>756</v>
      </c>
      <c r="E267" s="5">
        <v>5</v>
      </c>
      <c r="F267" s="5">
        <v>7</v>
      </c>
      <c r="G267" s="14">
        <v>34477</v>
      </c>
      <c r="H267" s="5">
        <v>832938</v>
      </c>
      <c r="I267" s="5" t="s">
        <v>17</v>
      </c>
    </row>
    <row r="268" spans="1:9" x14ac:dyDescent="0.4">
      <c r="A268" s="14">
        <v>43920</v>
      </c>
      <c r="B268" s="5">
        <v>15317</v>
      </c>
      <c r="C268" s="5" t="s">
        <v>12</v>
      </c>
      <c r="D268" s="5">
        <v>759</v>
      </c>
      <c r="E268" s="5">
        <v>1</v>
      </c>
      <c r="F268" s="5">
        <v>7</v>
      </c>
      <c r="G268" s="14">
        <v>32845</v>
      </c>
      <c r="H268" s="5">
        <v>662493</v>
      </c>
      <c r="I268" s="5" t="s">
        <v>17</v>
      </c>
    </row>
    <row r="269" spans="1:9" x14ac:dyDescent="0.4">
      <c r="A269" s="14">
        <v>44165</v>
      </c>
      <c r="B269" s="5">
        <v>89382</v>
      </c>
      <c r="C269" s="5" t="s">
        <v>16</v>
      </c>
      <c r="D269" s="5">
        <v>747</v>
      </c>
      <c r="E269" s="5">
        <v>2</v>
      </c>
      <c r="F269" s="5">
        <v>3</v>
      </c>
      <c r="G269" s="14">
        <v>30393</v>
      </c>
      <c r="H269" s="5">
        <v>971686</v>
      </c>
      <c r="I269" s="5" t="s">
        <v>14</v>
      </c>
    </row>
    <row r="270" spans="1:9" x14ac:dyDescent="0.4">
      <c r="A270" s="14">
        <v>43842</v>
      </c>
      <c r="B270" s="5">
        <v>84716</v>
      </c>
      <c r="C270" s="5" t="s">
        <v>15</v>
      </c>
      <c r="D270" s="5">
        <v>731</v>
      </c>
      <c r="E270" s="5">
        <v>1</v>
      </c>
      <c r="F270" s="5">
        <v>8</v>
      </c>
      <c r="G270" s="14">
        <v>33409</v>
      </c>
      <c r="H270" s="5">
        <v>747191</v>
      </c>
      <c r="I270" s="5" t="s">
        <v>14</v>
      </c>
    </row>
    <row r="271" spans="1:9" x14ac:dyDescent="0.4">
      <c r="A271" s="14">
        <v>44172</v>
      </c>
      <c r="B271" s="5">
        <v>79316</v>
      </c>
      <c r="C271" s="5" t="s">
        <v>18</v>
      </c>
      <c r="D271" s="5">
        <v>731</v>
      </c>
      <c r="E271" s="5">
        <v>2</v>
      </c>
      <c r="F271" s="5">
        <v>6</v>
      </c>
      <c r="G271" s="14">
        <v>32750</v>
      </c>
      <c r="H271" s="5">
        <v>739629</v>
      </c>
      <c r="I271" s="5" t="s">
        <v>10</v>
      </c>
    </row>
    <row r="272" spans="1:9" x14ac:dyDescent="0.4">
      <c r="A272" s="14">
        <v>43906</v>
      </c>
      <c r="B272" s="5">
        <v>23154</v>
      </c>
      <c r="C272" s="5" t="s">
        <v>9</v>
      </c>
      <c r="D272" s="5">
        <v>781</v>
      </c>
      <c r="E272" s="5">
        <v>5</v>
      </c>
      <c r="F272" s="5">
        <v>1</v>
      </c>
      <c r="G272" s="14">
        <v>32768</v>
      </c>
      <c r="H272" s="5">
        <v>578137</v>
      </c>
      <c r="I272" s="5" t="s">
        <v>14</v>
      </c>
    </row>
    <row r="273" spans="1:9" x14ac:dyDescent="0.4">
      <c r="A273" s="14">
        <v>43935</v>
      </c>
      <c r="B273" s="5">
        <v>64093</v>
      </c>
      <c r="C273" s="5" t="s">
        <v>12</v>
      </c>
      <c r="D273" s="5">
        <v>731</v>
      </c>
      <c r="E273" s="5">
        <v>5</v>
      </c>
      <c r="F273" s="5">
        <v>8</v>
      </c>
      <c r="G273" s="14">
        <v>34179</v>
      </c>
      <c r="H273" s="5">
        <v>829772</v>
      </c>
      <c r="I273" s="5" t="s">
        <v>14</v>
      </c>
    </row>
    <row r="274" spans="1:9" x14ac:dyDescent="0.4">
      <c r="A274" s="14">
        <v>43875</v>
      </c>
      <c r="B274" s="5">
        <v>79339</v>
      </c>
      <c r="C274" s="5" t="s">
        <v>27</v>
      </c>
      <c r="D274" s="5">
        <v>733</v>
      </c>
      <c r="E274" s="5">
        <v>3</v>
      </c>
      <c r="F274" s="5">
        <v>8</v>
      </c>
      <c r="G274" s="14">
        <v>30835</v>
      </c>
      <c r="H274" s="5">
        <v>863737</v>
      </c>
      <c r="I274" s="5" t="s">
        <v>17</v>
      </c>
    </row>
    <row r="275" spans="1:9" x14ac:dyDescent="0.4">
      <c r="A275" s="14">
        <v>44048</v>
      </c>
      <c r="B275" s="5">
        <v>87135</v>
      </c>
      <c r="C275" s="5" t="s">
        <v>28</v>
      </c>
      <c r="D275" s="5">
        <v>750</v>
      </c>
      <c r="E275" s="5">
        <v>2</v>
      </c>
      <c r="F275" s="5">
        <v>8</v>
      </c>
      <c r="G275" s="14">
        <v>33264</v>
      </c>
      <c r="H275" s="5">
        <v>970202</v>
      </c>
      <c r="I275" s="5" t="s">
        <v>17</v>
      </c>
    </row>
    <row r="276" spans="1:9" x14ac:dyDescent="0.4">
      <c r="A276" s="14">
        <v>43920</v>
      </c>
      <c r="B276" s="5">
        <v>77077</v>
      </c>
      <c r="C276" s="5" t="s">
        <v>29</v>
      </c>
      <c r="D276" s="5">
        <v>703</v>
      </c>
      <c r="E276" s="5">
        <v>1</v>
      </c>
      <c r="F276" s="5">
        <v>2</v>
      </c>
      <c r="G276" s="14">
        <v>30880</v>
      </c>
      <c r="H276" s="5">
        <v>645814</v>
      </c>
      <c r="I276" s="5" t="s">
        <v>10</v>
      </c>
    </row>
    <row r="277" spans="1:9" x14ac:dyDescent="0.4">
      <c r="A277" s="14">
        <v>44000</v>
      </c>
      <c r="B277" s="5">
        <v>44930</v>
      </c>
      <c r="C277" s="5" t="s">
        <v>12</v>
      </c>
      <c r="D277" s="5">
        <v>791</v>
      </c>
      <c r="E277" s="5">
        <v>3</v>
      </c>
      <c r="F277" s="5">
        <v>6</v>
      </c>
      <c r="G277" s="14">
        <v>29847</v>
      </c>
      <c r="H277" s="5">
        <v>537339</v>
      </c>
      <c r="I277" s="5" t="s">
        <v>10</v>
      </c>
    </row>
    <row r="278" spans="1:9" x14ac:dyDescent="0.4">
      <c r="A278" s="14">
        <v>44135</v>
      </c>
      <c r="B278" s="5">
        <v>47921</v>
      </c>
      <c r="C278" s="5" t="s">
        <v>35</v>
      </c>
      <c r="D278" s="5">
        <v>746</v>
      </c>
      <c r="E278" s="5">
        <v>1</v>
      </c>
      <c r="F278" s="5">
        <v>4</v>
      </c>
      <c r="G278" s="14">
        <v>32286</v>
      </c>
      <c r="H278" s="5">
        <v>787731</v>
      </c>
      <c r="I278" s="5" t="s">
        <v>14</v>
      </c>
    </row>
    <row r="279" spans="1:9" x14ac:dyDescent="0.4">
      <c r="A279" s="14">
        <v>43982</v>
      </c>
      <c r="B279" s="5">
        <v>56375</v>
      </c>
      <c r="C279" s="5" t="s">
        <v>24</v>
      </c>
      <c r="D279" s="5">
        <v>780</v>
      </c>
      <c r="E279" s="5">
        <v>5</v>
      </c>
      <c r="F279" s="5">
        <v>4</v>
      </c>
      <c r="G279" s="14">
        <v>30852</v>
      </c>
      <c r="H279" s="5">
        <v>671383</v>
      </c>
      <c r="I279" s="5" t="s">
        <v>10</v>
      </c>
    </row>
    <row r="280" spans="1:9" x14ac:dyDescent="0.4">
      <c r="A280" s="14">
        <v>44063</v>
      </c>
      <c r="B280" s="5">
        <v>52933</v>
      </c>
      <c r="C280" s="5" t="s">
        <v>16</v>
      </c>
      <c r="D280" s="5">
        <v>712</v>
      </c>
      <c r="E280" s="5">
        <v>3</v>
      </c>
      <c r="F280" s="5">
        <v>6</v>
      </c>
      <c r="G280" s="14">
        <v>33845</v>
      </c>
      <c r="H280" s="5">
        <v>947863</v>
      </c>
      <c r="I280" s="5" t="s">
        <v>17</v>
      </c>
    </row>
    <row r="281" spans="1:9" x14ac:dyDescent="0.4">
      <c r="A281" s="14">
        <v>44063</v>
      </c>
      <c r="B281" s="5">
        <v>86869</v>
      </c>
      <c r="C281" s="5" t="s">
        <v>9</v>
      </c>
      <c r="D281" s="5">
        <v>744</v>
      </c>
      <c r="E281" s="5">
        <v>4</v>
      </c>
      <c r="F281" s="5">
        <v>4</v>
      </c>
      <c r="G281" s="14">
        <v>33647</v>
      </c>
      <c r="H281" s="5">
        <v>790279</v>
      </c>
      <c r="I281" s="5" t="s">
        <v>17</v>
      </c>
    </row>
    <row r="282" spans="1:9" x14ac:dyDescent="0.4">
      <c r="A282" s="14">
        <v>43935</v>
      </c>
      <c r="B282" s="5">
        <v>66099</v>
      </c>
      <c r="C282" s="5" t="s">
        <v>29</v>
      </c>
      <c r="D282" s="5">
        <v>785</v>
      </c>
      <c r="E282" s="5">
        <v>4</v>
      </c>
      <c r="F282" s="5">
        <v>2</v>
      </c>
      <c r="G282" s="14">
        <v>31197</v>
      </c>
      <c r="H282" s="5">
        <v>910895</v>
      </c>
      <c r="I282" s="5" t="s">
        <v>14</v>
      </c>
    </row>
    <row r="283" spans="1:9" x14ac:dyDescent="0.4">
      <c r="A283" s="14">
        <v>44166</v>
      </c>
      <c r="B283" s="5">
        <v>86024</v>
      </c>
      <c r="C283" s="5" t="s">
        <v>16</v>
      </c>
      <c r="D283" s="5">
        <v>715</v>
      </c>
      <c r="E283" s="5">
        <v>3</v>
      </c>
      <c r="F283" s="5">
        <v>10</v>
      </c>
      <c r="G283" s="14">
        <v>30217</v>
      </c>
      <c r="H283" s="5">
        <v>866832</v>
      </c>
      <c r="I283" s="5" t="s">
        <v>14</v>
      </c>
    </row>
    <row r="284" spans="1:9" x14ac:dyDescent="0.4">
      <c r="A284" s="14">
        <v>44084</v>
      </c>
      <c r="B284" s="5">
        <v>53822</v>
      </c>
      <c r="C284" s="5" t="s">
        <v>31</v>
      </c>
      <c r="D284" s="5">
        <v>743</v>
      </c>
      <c r="E284" s="5">
        <v>1</v>
      </c>
      <c r="F284" s="5">
        <v>6</v>
      </c>
      <c r="G284" s="14">
        <v>34412</v>
      </c>
      <c r="H284" s="5">
        <v>836120</v>
      </c>
      <c r="I284" s="5" t="s">
        <v>14</v>
      </c>
    </row>
    <row r="285" spans="1:9" x14ac:dyDescent="0.4">
      <c r="A285" s="14">
        <v>44097</v>
      </c>
      <c r="B285" s="5">
        <v>36599</v>
      </c>
      <c r="C285" s="5" t="s">
        <v>31</v>
      </c>
      <c r="D285" s="5">
        <v>724</v>
      </c>
      <c r="E285" s="5">
        <v>1</v>
      </c>
      <c r="F285" s="5">
        <v>1</v>
      </c>
      <c r="G285" s="14">
        <v>29729</v>
      </c>
      <c r="H285" s="5">
        <v>730249</v>
      </c>
      <c r="I285" s="5" t="s">
        <v>17</v>
      </c>
    </row>
    <row r="286" spans="1:9" x14ac:dyDescent="0.4">
      <c r="A286" s="14">
        <v>43940</v>
      </c>
      <c r="B286" s="5">
        <v>34987</v>
      </c>
      <c r="C286" s="5" t="s">
        <v>32</v>
      </c>
      <c r="D286" s="5">
        <v>741</v>
      </c>
      <c r="E286" s="5">
        <v>2</v>
      </c>
      <c r="F286" s="5">
        <v>8</v>
      </c>
      <c r="G286" s="14">
        <v>32673</v>
      </c>
      <c r="H286" s="5">
        <v>730232</v>
      </c>
      <c r="I286" s="5" t="s">
        <v>17</v>
      </c>
    </row>
    <row r="287" spans="1:9" x14ac:dyDescent="0.4">
      <c r="A287" s="14">
        <v>44056</v>
      </c>
      <c r="B287" s="5">
        <v>23301</v>
      </c>
      <c r="C287" s="5" t="s">
        <v>24</v>
      </c>
      <c r="D287" s="5">
        <v>787</v>
      </c>
      <c r="E287" s="5">
        <v>3</v>
      </c>
      <c r="F287" s="5">
        <v>9</v>
      </c>
      <c r="G287" s="14">
        <v>31920</v>
      </c>
      <c r="H287" s="5">
        <v>692055</v>
      </c>
      <c r="I287" s="5" t="s">
        <v>17</v>
      </c>
    </row>
    <row r="288" spans="1:9" x14ac:dyDescent="0.4">
      <c r="A288" s="14">
        <v>43953</v>
      </c>
      <c r="B288" s="5">
        <v>59671</v>
      </c>
      <c r="C288" s="5" t="s">
        <v>25</v>
      </c>
      <c r="D288" s="5">
        <v>783</v>
      </c>
      <c r="E288" s="5">
        <v>3</v>
      </c>
      <c r="F288" s="5">
        <v>4</v>
      </c>
      <c r="G288" s="14">
        <v>29521</v>
      </c>
      <c r="H288" s="5">
        <v>681373</v>
      </c>
      <c r="I288" s="5" t="s">
        <v>10</v>
      </c>
    </row>
    <row r="289" spans="1:9" x14ac:dyDescent="0.4">
      <c r="A289" s="14">
        <v>44149</v>
      </c>
      <c r="B289" s="5">
        <v>35667</v>
      </c>
      <c r="C289" s="5" t="s">
        <v>22</v>
      </c>
      <c r="D289" s="5">
        <v>769</v>
      </c>
      <c r="E289" s="5">
        <v>1</v>
      </c>
      <c r="F289" s="5">
        <v>7</v>
      </c>
      <c r="G289" s="14">
        <v>33528</v>
      </c>
      <c r="H289" s="5">
        <v>609953</v>
      </c>
      <c r="I289" s="5" t="s">
        <v>14</v>
      </c>
    </row>
    <row r="290" spans="1:9" x14ac:dyDescent="0.4">
      <c r="A290" s="14">
        <v>44027</v>
      </c>
      <c r="B290" s="5">
        <v>27554</v>
      </c>
      <c r="C290" s="5" t="s">
        <v>25</v>
      </c>
      <c r="D290" s="5">
        <v>762</v>
      </c>
      <c r="E290" s="5">
        <v>1</v>
      </c>
      <c r="F290" s="5">
        <v>3</v>
      </c>
      <c r="G290" s="14">
        <v>29384</v>
      </c>
      <c r="H290" s="5">
        <v>849306</v>
      </c>
      <c r="I290" s="5" t="s">
        <v>14</v>
      </c>
    </row>
    <row r="291" spans="1:9" x14ac:dyDescent="0.4">
      <c r="A291" s="14">
        <v>43872</v>
      </c>
      <c r="B291" s="5">
        <v>54403</v>
      </c>
      <c r="C291" s="5" t="s">
        <v>21</v>
      </c>
      <c r="D291" s="5">
        <v>756</v>
      </c>
      <c r="E291" s="5">
        <v>5</v>
      </c>
      <c r="F291" s="5">
        <v>10</v>
      </c>
      <c r="G291" s="14">
        <v>30684</v>
      </c>
      <c r="H291" s="5">
        <v>960479</v>
      </c>
      <c r="I291" s="5" t="s">
        <v>14</v>
      </c>
    </row>
    <row r="292" spans="1:9" x14ac:dyDescent="0.4">
      <c r="A292" s="14">
        <v>43947</v>
      </c>
      <c r="B292" s="5">
        <v>82494</v>
      </c>
      <c r="C292" s="5" t="s">
        <v>35</v>
      </c>
      <c r="D292" s="5">
        <v>793</v>
      </c>
      <c r="E292" s="5">
        <v>3</v>
      </c>
      <c r="F292" s="5">
        <v>1</v>
      </c>
      <c r="G292" s="14">
        <v>33524</v>
      </c>
      <c r="H292" s="5">
        <v>817733</v>
      </c>
      <c r="I292" s="5" t="s">
        <v>10</v>
      </c>
    </row>
    <row r="293" spans="1:9" x14ac:dyDescent="0.4">
      <c r="A293" s="14">
        <v>43987</v>
      </c>
      <c r="B293" s="5">
        <v>15362</v>
      </c>
      <c r="C293" s="5" t="s">
        <v>34</v>
      </c>
      <c r="D293" s="5">
        <v>725</v>
      </c>
      <c r="E293" s="5">
        <v>5</v>
      </c>
      <c r="F293" s="5">
        <v>5</v>
      </c>
      <c r="G293" s="14">
        <v>31381</v>
      </c>
      <c r="H293" s="5">
        <v>904232</v>
      </c>
      <c r="I293" s="5" t="s">
        <v>10</v>
      </c>
    </row>
    <row r="294" spans="1:9" x14ac:dyDescent="0.4">
      <c r="A294" s="14">
        <v>44021</v>
      </c>
      <c r="B294" s="5">
        <v>45967</v>
      </c>
      <c r="C294" s="5" t="s">
        <v>26</v>
      </c>
      <c r="D294" s="5">
        <v>792</v>
      </c>
      <c r="E294" s="5">
        <v>5</v>
      </c>
      <c r="F294" s="5">
        <v>5</v>
      </c>
      <c r="G294" s="14">
        <v>29500</v>
      </c>
      <c r="H294" s="5">
        <v>740222</v>
      </c>
      <c r="I294" s="5" t="s">
        <v>14</v>
      </c>
    </row>
    <row r="295" spans="1:9" x14ac:dyDescent="0.4">
      <c r="A295" s="14">
        <v>44043</v>
      </c>
      <c r="B295" s="5">
        <v>33874</v>
      </c>
      <c r="C295" s="5" t="s">
        <v>13</v>
      </c>
      <c r="D295" s="5">
        <v>755</v>
      </c>
      <c r="E295" s="5">
        <v>2</v>
      </c>
      <c r="F295" s="5">
        <v>1</v>
      </c>
      <c r="G295" s="14">
        <v>30662</v>
      </c>
      <c r="H295" s="5">
        <v>585398</v>
      </c>
      <c r="I295" s="5" t="s">
        <v>14</v>
      </c>
    </row>
    <row r="296" spans="1:9" x14ac:dyDescent="0.4">
      <c r="A296" s="14">
        <v>44065</v>
      </c>
      <c r="B296" s="5">
        <v>85159</v>
      </c>
      <c r="C296" s="5" t="s">
        <v>27</v>
      </c>
      <c r="D296" s="5">
        <v>785</v>
      </c>
      <c r="E296" s="5">
        <v>3</v>
      </c>
      <c r="F296" s="5">
        <v>3</v>
      </c>
      <c r="G296" s="14">
        <v>34621</v>
      </c>
      <c r="H296" s="5">
        <v>829309</v>
      </c>
      <c r="I296" s="5" t="s">
        <v>14</v>
      </c>
    </row>
    <row r="297" spans="1:9" x14ac:dyDescent="0.4">
      <c r="A297" s="14">
        <v>43889</v>
      </c>
      <c r="B297" s="5">
        <v>62020</v>
      </c>
      <c r="C297" s="5" t="s">
        <v>30</v>
      </c>
      <c r="D297" s="5">
        <v>722</v>
      </c>
      <c r="E297" s="5">
        <v>3</v>
      </c>
      <c r="F297" s="5">
        <v>2</v>
      </c>
      <c r="G297" s="14">
        <v>32828</v>
      </c>
      <c r="H297" s="5">
        <v>864737</v>
      </c>
      <c r="I297" s="5" t="s">
        <v>10</v>
      </c>
    </row>
    <row r="298" spans="1:9" x14ac:dyDescent="0.4">
      <c r="A298" s="14">
        <v>44065</v>
      </c>
      <c r="B298" s="5">
        <v>90439</v>
      </c>
      <c r="C298" s="5" t="s">
        <v>22</v>
      </c>
      <c r="D298" s="5">
        <v>765</v>
      </c>
      <c r="E298" s="5">
        <v>1</v>
      </c>
      <c r="F298" s="5">
        <v>1</v>
      </c>
      <c r="G298" s="14">
        <v>31859</v>
      </c>
      <c r="H298" s="5">
        <v>598037</v>
      </c>
      <c r="I298" s="5" t="s">
        <v>17</v>
      </c>
    </row>
    <row r="299" spans="1:9" x14ac:dyDescent="0.4">
      <c r="A299" s="14">
        <v>43890</v>
      </c>
      <c r="B299" s="5">
        <v>79432</v>
      </c>
      <c r="C299" s="5" t="s">
        <v>11</v>
      </c>
      <c r="D299" s="5">
        <v>719</v>
      </c>
      <c r="E299" s="5">
        <v>5</v>
      </c>
      <c r="F299" s="5">
        <v>3</v>
      </c>
      <c r="G299" s="14">
        <v>30214</v>
      </c>
      <c r="H299" s="5">
        <v>891905</v>
      </c>
      <c r="I299" s="5" t="s">
        <v>14</v>
      </c>
    </row>
    <row r="300" spans="1:9" x14ac:dyDescent="0.4">
      <c r="A300" s="14">
        <v>43848</v>
      </c>
      <c r="B300" s="5">
        <v>28144</v>
      </c>
      <c r="C300" s="5" t="s">
        <v>30</v>
      </c>
      <c r="D300" s="5">
        <v>716</v>
      </c>
      <c r="E300" s="5">
        <v>1</v>
      </c>
      <c r="F300" s="5">
        <v>3</v>
      </c>
      <c r="G300" s="14">
        <v>30068</v>
      </c>
      <c r="H300" s="5">
        <v>795488</v>
      </c>
      <c r="I300" s="5" t="s">
        <v>10</v>
      </c>
    </row>
    <row r="301" spans="1:9" x14ac:dyDescent="0.4">
      <c r="A301" s="14">
        <v>44120</v>
      </c>
      <c r="B301" s="5">
        <v>49021</v>
      </c>
      <c r="C301" s="5" t="s">
        <v>28</v>
      </c>
      <c r="D301" s="5">
        <v>751</v>
      </c>
      <c r="E301" s="5">
        <v>3</v>
      </c>
      <c r="F301" s="5">
        <v>4</v>
      </c>
      <c r="G301" s="14">
        <v>29301</v>
      </c>
      <c r="H301" s="5">
        <v>755365</v>
      </c>
      <c r="I301" s="5" t="s">
        <v>10</v>
      </c>
    </row>
    <row r="302" spans="1:9" x14ac:dyDescent="0.4">
      <c r="A302" s="14">
        <v>43833</v>
      </c>
      <c r="B302" s="5">
        <v>82597</v>
      </c>
      <c r="C302" s="5" t="s">
        <v>19</v>
      </c>
      <c r="D302" s="5">
        <v>773</v>
      </c>
      <c r="E302" s="5">
        <v>2</v>
      </c>
      <c r="F302" s="5">
        <v>4</v>
      </c>
      <c r="G302" s="14">
        <v>34289</v>
      </c>
      <c r="H302" s="5">
        <v>797216</v>
      </c>
      <c r="I302" s="5" t="s">
        <v>17</v>
      </c>
    </row>
    <row r="303" spans="1:9" x14ac:dyDescent="0.4">
      <c r="A303" s="14">
        <v>43973</v>
      </c>
      <c r="B303" s="5">
        <v>81380</v>
      </c>
      <c r="C303" s="5" t="s">
        <v>29</v>
      </c>
      <c r="D303" s="5">
        <v>777</v>
      </c>
      <c r="E303" s="5">
        <v>2</v>
      </c>
      <c r="F303" s="5">
        <v>8</v>
      </c>
      <c r="G303" s="14">
        <v>29231</v>
      </c>
      <c r="H303" s="5">
        <v>658555</v>
      </c>
      <c r="I303" s="5" t="s">
        <v>10</v>
      </c>
    </row>
    <row r="304" spans="1:9" x14ac:dyDescent="0.4">
      <c r="A304" s="14">
        <v>44041</v>
      </c>
      <c r="B304" s="5">
        <v>49194</v>
      </c>
      <c r="C304" s="5" t="s">
        <v>23</v>
      </c>
      <c r="D304" s="5">
        <v>757</v>
      </c>
      <c r="E304" s="5">
        <v>2</v>
      </c>
      <c r="F304" s="5">
        <v>1</v>
      </c>
      <c r="G304" s="14">
        <v>31340</v>
      </c>
      <c r="H304" s="5">
        <v>573303</v>
      </c>
      <c r="I304" s="5" t="s">
        <v>17</v>
      </c>
    </row>
    <row r="305" spans="1:9" x14ac:dyDescent="0.4">
      <c r="A305" s="14">
        <v>44076</v>
      </c>
      <c r="B305" s="5">
        <v>49005</v>
      </c>
      <c r="C305" s="5" t="s">
        <v>24</v>
      </c>
      <c r="D305" s="5">
        <v>755</v>
      </c>
      <c r="E305" s="5">
        <v>5</v>
      </c>
      <c r="F305" s="5">
        <v>9</v>
      </c>
      <c r="G305" s="14">
        <v>29388</v>
      </c>
      <c r="H305" s="5">
        <v>763557</v>
      </c>
      <c r="I305" s="5" t="s">
        <v>17</v>
      </c>
    </row>
    <row r="306" spans="1:9" x14ac:dyDescent="0.4">
      <c r="A306" s="14">
        <v>44001</v>
      </c>
      <c r="B306" s="5">
        <v>11954</v>
      </c>
      <c r="C306" s="5" t="s">
        <v>28</v>
      </c>
      <c r="D306" s="5">
        <v>732</v>
      </c>
      <c r="E306" s="5">
        <v>5</v>
      </c>
      <c r="F306" s="5">
        <v>4</v>
      </c>
      <c r="G306" s="14">
        <v>32980</v>
      </c>
      <c r="H306" s="5">
        <v>511283</v>
      </c>
      <c r="I306" s="5" t="s">
        <v>17</v>
      </c>
    </row>
    <row r="307" spans="1:9" x14ac:dyDescent="0.4">
      <c r="A307" s="14">
        <v>43910</v>
      </c>
      <c r="B307" s="5">
        <v>68852</v>
      </c>
      <c r="C307" s="5" t="s">
        <v>20</v>
      </c>
      <c r="D307" s="5">
        <v>743</v>
      </c>
      <c r="E307" s="5">
        <v>3</v>
      </c>
      <c r="F307" s="5">
        <v>1</v>
      </c>
      <c r="G307" s="14">
        <v>32455</v>
      </c>
      <c r="H307" s="5">
        <v>547867</v>
      </c>
      <c r="I307" s="5" t="s">
        <v>17</v>
      </c>
    </row>
    <row r="308" spans="1:9" x14ac:dyDescent="0.4">
      <c r="A308" s="14">
        <v>43880</v>
      </c>
      <c r="B308" s="5">
        <v>28748</v>
      </c>
      <c r="C308" s="5" t="s">
        <v>19</v>
      </c>
      <c r="D308" s="5">
        <v>761</v>
      </c>
      <c r="E308" s="5">
        <v>3</v>
      </c>
      <c r="F308" s="5">
        <v>4</v>
      </c>
      <c r="G308" s="14">
        <v>34692</v>
      </c>
      <c r="H308" s="5">
        <v>534236</v>
      </c>
      <c r="I308" s="5" t="s">
        <v>14</v>
      </c>
    </row>
    <row r="309" spans="1:9" x14ac:dyDescent="0.4">
      <c r="A309" s="14">
        <v>44034</v>
      </c>
      <c r="B309" s="5">
        <v>19871</v>
      </c>
      <c r="C309" s="5" t="s">
        <v>27</v>
      </c>
      <c r="D309" s="5">
        <v>785</v>
      </c>
      <c r="E309" s="5">
        <v>1</v>
      </c>
      <c r="F309" s="5">
        <v>4</v>
      </c>
      <c r="G309" s="14">
        <v>33182</v>
      </c>
      <c r="H309" s="5">
        <v>926218</v>
      </c>
      <c r="I309" s="5" t="s">
        <v>17</v>
      </c>
    </row>
    <row r="310" spans="1:9" x14ac:dyDescent="0.4">
      <c r="A310" s="14">
        <v>44080</v>
      </c>
      <c r="B310" s="5">
        <v>82769</v>
      </c>
      <c r="C310" s="5" t="s">
        <v>12</v>
      </c>
      <c r="D310" s="5">
        <v>772</v>
      </c>
      <c r="E310" s="5">
        <v>5</v>
      </c>
      <c r="F310" s="5">
        <v>9</v>
      </c>
      <c r="G310" s="14">
        <v>31772</v>
      </c>
      <c r="H310" s="5">
        <v>996338</v>
      </c>
      <c r="I310" s="5" t="s">
        <v>14</v>
      </c>
    </row>
    <row r="311" spans="1:9" x14ac:dyDescent="0.4">
      <c r="A311" s="14">
        <v>43833</v>
      </c>
      <c r="B311" s="5">
        <v>79925</v>
      </c>
      <c r="C311" s="5" t="s">
        <v>35</v>
      </c>
      <c r="D311" s="5">
        <v>731</v>
      </c>
      <c r="E311" s="5">
        <v>2</v>
      </c>
      <c r="F311" s="5">
        <v>9</v>
      </c>
      <c r="G311" s="14">
        <v>31918</v>
      </c>
      <c r="H311" s="5">
        <v>816389</v>
      </c>
      <c r="I311" s="5" t="s">
        <v>10</v>
      </c>
    </row>
    <row r="312" spans="1:9" x14ac:dyDescent="0.4">
      <c r="A312" s="14">
        <v>43939</v>
      </c>
      <c r="B312" s="5">
        <v>37382</v>
      </c>
      <c r="C312" s="5" t="s">
        <v>29</v>
      </c>
      <c r="D312" s="5">
        <v>720</v>
      </c>
      <c r="E312" s="5">
        <v>4</v>
      </c>
      <c r="F312" s="5">
        <v>1</v>
      </c>
      <c r="G312" s="14">
        <v>33315</v>
      </c>
      <c r="H312" s="5">
        <v>610385</v>
      </c>
      <c r="I312" s="5" t="s">
        <v>10</v>
      </c>
    </row>
    <row r="313" spans="1:9" x14ac:dyDescent="0.4">
      <c r="A313" s="14">
        <v>44130</v>
      </c>
      <c r="B313" s="5">
        <v>47339</v>
      </c>
      <c r="C313" s="5" t="s">
        <v>18</v>
      </c>
      <c r="D313" s="5">
        <v>775</v>
      </c>
      <c r="E313" s="5">
        <v>2</v>
      </c>
      <c r="F313" s="5">
        <v>1</v>
      </c>
      <c r="G313" s="14">
        <v>33649</v>
      </c>
      <c r="H313" s="5">
        <v>722683</v>
      </c>
      <c r="I313" s="5" t="s">
        <v>14</v>
      </c>
    </row>
    <row r="314" spans="1:9" x14ac:dyDescent="0.4">
      <c r="A314" s="14">
        <v>43994</v>
      </c>
      <c r="B314" s="5">
        <v>12361</v>
      </c>
      <c r="C314" s="5" t="s">
        <v>30</v>
      </c>
      <c r="D314" s="5">
        <v>732</v>
      </c>
      <c r="E314" s="5">
        <v>3</v>
      </c>
      <c r="F314" s="5">
        <v>3</v>
      </c>
      <c r="G314" s="14">
        <v>34000</v>
      </c>
      <c r="H314" s="5">
        <v>581560</v>
      </c>
      <c r="I314" s="5" t="s">
        <v>17</v>
      </c>
    </row>
    <row r="315" spans="1:9" x14ac:dyDescent="0.4">
      <c r="A315" s="14">
        <v>43982</v>
      </c>
      <c r="B315" s="5">
        <v>24141</v>
      </c>
      <c r="C315" s="5" t="s">
        <v>16</v>
      </c>
      <c r="D315" s="5">
        <v>736</v>
      </c>
      <c r="E315" s="5">
        <v>4</v>
      </c>
      <c r="F315" s="5">
        <v>10</v>
      </c>
      <c r="G315" s="14">
        <v>33528</v>
      </c>
      <c r="H315" s="5">
        <v>762395</v>
      </c>
      <c r="I315" s="5" t="s">
        <v>17</v>
      </c>
    </row>
    <row r="316" spans="1:9" x14ac:dyDescent="0.4">
      <c r="A316" s="14">
        <v>43834</v>
      </c>
      <c r="B316" s="5">
        <v>12258</v>
      </c>
      <c r="C316" s="5" t="s">
        <v>13</v>
      </c>
      <c r="D316" s="5">
        <v>724</v>
      </c>
      <c r="E316" s="5">
        <v>4</v>
      </c>
      <c r="F316" s="5">
        <v>7</v>
      </c>
      <c r="G316" s="14">
        <v>34575</v>
      </c>
      <c r="H316" s="5">
        <v>799069</v>
      </c>
      <c r="I316" s="5" t="s">
        <v>14</v>
      </c>
    </row>
    <row r="317" spans="1:9" x14ac:dyDescent="0.4">
      <c r="A317" s="14">
        <v>44158</v>
      </c>
      <c r="B317" s="5">
        <v>19675</v>
      </c>
      <c r="C317" s="5" t="s">
        <v>29</v>
      </c>
      <c r="D317" s="5">
        <v>783</v>
      </c>
      <c r="E317" s="5">
        <v>4</v>
      </c>
      <c r="F317" s="5">
        <v>9</v>
      </c>
      <c r="G317" s="14">
        <v>32806</v>
      </c>
      <c r="H317" s="5">
        <v>585265</v>
      </c>
      <c r="I317" s="5" t="s">
        <v>17</v>
      </c>
    </row>
    <row r="318" spans="1:9" x14ac:dyDescent="0.4">
      <c r="A318" s="14">
        <v>44047</v>
      </c>
      <c r="B318" s="5">
        <v>77512</v>
      </c>
      <c r="C318" s="5" t="s">
        <v>9</v>
      </c>
      <c r="D318" s="5">
        <v>720</v>
      </c>
      <c r="E318" s="5">
        <v>1</v>
      </c>
      <c r="F318" s="5">
        <v>3</v>
      </c>
      <c r="G318" s="14">
        <v>30088</v>
      </c>
      <c r="H318" s="5">
        <v>597839</v>
      </c>
      <c r="I318" s="5" t="s">
        <v>17</v>
      </c>
    </row>
    <row r="319" spans="1:9" x14ac:dyDescent="0.4">
      <c r="A319" s="14">
        <v>43976</v>
      </c>
      <c r="B319" s="5">
        <v>27467</v>
      </c>
      <c r="C319" s="5" t="s">
        <v>25</v>
      </c>
      <c r="D319" s="5">
        <v>733</v>
      </c>
      <c r="E319" s="5">
        <v>5</v>
      </c>
      <c r="F319" s="5">
        <v>2</v>
      </c>
      <c r="G319" s="14">
        <v>33070</v>
      </c>
      <c r="H319" s="5">
        <v>964664</v>
      </c>
      <c r="I319" s="5" t="s">
        <v>10</v>
      </c>
    </row>
    <row r="320" spans="1:9" x14ac:dyDescent="0.4">
      <c r="A320" s="14">
        <v>43926</v>
      </c>
      <c r="B320" s="5">
        <v>44997</v>
      </c>
      <c r="C320" s="5" t="s">
        <v>27</v>
      </c>
      <c r="D320" s="5">
        <v>767</v>
      </c>
      <c r="E320" s="5">
        <v>4</v>
      </c>
      <c r="F320" s="5">
        <v>9</v>
      </c>
      <c r="G320" s="14">
        <v>33612</v>
      </c>
      <c r="H320" s="5">
        <v>857804</v>
      </c>
      <c r="I320" s="5" t="s">
        <v>10</v>
      </c>
    </row>
    <row r="321" spans="1:9" x14ac:dyDescent="0.4">
      <c r="A321" s="14">
        <v>43990</v>
      </c>
      <c r="B321" s="5">
        <v>40330</v>
      </c>
      <c r="C321" s="5" t="s">
        <v>26</v>
      </c>
      <c r="D321" s="5">
        <v>739</v>
      </c>
      <c r="E321" s="5">
        <v>5</v>
      </c>
      <c r="F321" s="5">
        <v>10</v>
      </c>
      <c r="G321" s="14">
        <v>34188</v>
      </c>
      <c r="H321" s="5">
        <v>631521</v>
      </c>
      <c r="I321" s="5" t="s">
        <v>17</v>
      </c>
    </row>
    <row r="322" spans="1:9" x14ac:dyDescent="0.4">
      <c r="A322" s="14">
        <v>44105</v>
      </c>
      <c r="B322" s="5">
        <v>57871</v>
      </c>
      <c r="C322" s="5" t="s">
        <v>18</v>
      </c>
      <c r="D322" s="5">
        <v>728</v>
      </c>
      <c r="E322" s="5">
        <v>5</v>
      </c>
      <c r="F322" s="5">
        <v>10</v>
      </c>
      <c r="G322" s="14">
        <v>34226</v>
      </c>
      <c r="H322" s="5">
        <v>534689</v>
      </c>
      <c r="I322" s="5" t="s">
        <v>17</v>
      </c>
    </row>
    <row r="323" spans="1:9" x14ac:dyDescent="0.4">
      <c r="A323" s="14">
        <v>43990</v>
      </c>
      <c r="B323" s="5">
        <v>86532</v>
      </c>
      <c r="C323" s="5" t="s">
        <v>25</v>
      </c>
      <c r="D323" s="5">
        <v>742</v>
      </c>
      <c r="E323" s="5">
        <v>2</v>
      </c>
      <c r="F323" s="5">
        <v>6</v>
      </c>
      <c r="G323" s="14">
        <v>32942</v>
      </c>
      <c r="H323" s="5">
        <v>551344</v>
      </c>
      <c r="I323" s="5" t="s">
        <v>10</v>
      </c>
    </row>
    <row r="324" spans="1:9" x14ac:dyDescent="0.4">
      <c r="A324" s="14">
        <v>44017</v>
      </c>
      <c r="B324" s="5">
        <v>82026</v>
      </c>
      <c r="C324" s="5" t="s">
        <v>21</v>
      </c>
      <c r="D324" s="5">
        <v>752</v>
      </c>
      <c r="E324" s="5">
        <v>1</v>
      </c>
      <c r="F324" s="5">
        <v>3</v>
      </c>
      <c r="G324" s="14">
        <v>30973</v>
      </c>
      <c r="H324" s="5">
        <v>838633</v>
      </c>
      <c r="I324" s="5" t="s">
        <v>10</v>
      </c>
    </row>
    <row r="325" spans="1:9" x14ac:dyDescent="0.4">
      <c r="A325" s="14">
        <v>44099</v>
      </c>
      <c r="B325" s="5">
        <v>71150</v>
      </c>
      <c r="C325" s="5" t="s">
        <v>9</v>
      </c>
      <c r="D325" s="5">
        <v>742</v>
      </c>
      <c r="E325" s="5">
        <v>4</v>
      </c>
      <c r="F325" s="5">
        <v>3</v>
      </c>
      <c r="G325" s="14">
        <v>32082</v>
      </c>
      <c r="H325" s="5">
        <v>905242</v>
      </c>
      <c r="I325" s="5" t="s">
        <v>10</v>
      </c>
    </row>
    <row r="326" spans="1:9" x14ac:dyDescent="0.4">
      <c r="A326" s="14">
        <v>43890</v>
      </c>
      <c r="B326" s="5">
        <v>55651</v>
      </c>
      <c r="C326" s="5" t="s">
        <v>12</v>
      </c>
      <c r="D326" s="5">
        <v>721</v>
      </c>
      <c r="E326" s="5">
        <v>5</v>
      </c>
      <c r="F326" s="5">
        <v>1</v>
      </c>
      <c r="G326" s="14">
        <v>29768</v>
      </c>
      <c r="H326" s="5">
        <v>752313</v>
      </c>
      <c r="I326" s="5" t="s">
        <v>17</v>
      </c>
    </row>
    <row r="327" spans="1:9" x14ac:dyDescent="0.4">
      <c r="A327" s="14">
        <v>44083</v>
      </c>
      <c r="B327" s="5">
        <v>29419</v>
      </c>
      <c r="C327" s="5" t="s">
        <v>35</v>
      </c>
      <c r="D327" s="5">
        <v>762</v>
      </c>
      <c r="E327" s="5">
        <v>5</v>
      </c>
      <c r="F327" s="5">
        <v>1</v>
      </c>
      <c r="G327" s="14">
        <v>31877</v>
      </c>
      <c r="H327" s="5">
        <v>649484</v>
      </c>
      <c r="I327" s="5" t="s">
        <v>17</v>
      </c>
    </row>
    <row r="328" spans="1:9" x14ac:dyDescent="0.4">
      <c r="A328" s="14">
        <v>44116</v>
      </c>
      <c r="B328" s="5">
        <v>87846</v>
      </c>
      <c r="C328" s="5" t="s">
        <v>35</v>
      </c>
      <c r="D328" s="5">
        <v>729</v>
      </c>
      <c r="E328" s="5">
        <v>1</v>
      </c>
      <c r="F328" s="5">
        <v>2</v>
      </c>
      <c r="G328" s="14">
        <v>31756</v>
      </c>
      <c r="H328" s="5">
        <v>849580</v>
      </c>
      <c r="I328" s="5" t="s">
        <v>10</v>
      </c>
    </row>
    <row r="329" spans="1:9" x14ac:dyDescent="0.4">
      <c r="A329" s="14">
        <v>43887</v>
      </c>
      <c r="B329" s="5">
        <v>15144</v>
      </c>
      <c r="C329" s="5" t="s">
        <v>28</v>
      </c>
      <c r="D329" s="5">
        <v>718</v>
      </c>
      <c r="E329" s="5">
        <v>5</v>
      </c>
      <c r="F329" s="5">
        <v>10</v>
      </c>
      <c r="G329" s="14">
        <v>31583</v>
      </c>
      <c r="H329" s="5">
        <v>881938</v>
      </c>
      <c r="I329" s="5" t="s">
        <v>17</v>
      </c>
    </row>
    <row r="330" spans="1:9" x14ac:dyDescent="0.4">
      <c r="A330" s="14">
        <v>44027</v>
      </c>
      <c r="B330" s="5">
        <v>24511</v>
      </c>
      <c r="C330" s="5" t="s">
        <v>20</v>
      </c>
      <c r="D330" s="5">
        <v>800</v>
      </c>
      <c r="E330" s="5">
        <v>3</v>
      </c>
      <c r="F330" s="5">
        <v>7</v>
      </c>
      <c r="G330" s="14">
        <v>33696</v>
      </c>
      <c r="H330" s="5">
        <v>578641</v>
      </c>
      <c r="I330" s="5" t="s">
        <v>10</v>
      </c>
    </row>
    <row r="331" spans="1:9" x14ac:dyDescent="0.4">
      <c r="A331" s="14">
        <v>44170</v>
      </c>
      <c r="B331" s="5">
        <v>55987</v>
      </c>
      <c r="C331" s="5" t="s">
        <v>31</v>
      </c>
      <c r="D331" s="5">
        <v>707</v>
      </c>
      <c r="E331" s="5">
        <v>3</v>
      </c>
      <c r="F331" s="5">
        <v>3</v>
      </c>
      <c r="G331" s="14">
        <v>32458</v>
      </c>
      <c r="H331" s="5">
        <v>516908</v>
      </c>
      <c r="I331" s="5" t="s">
        <v>17</v>
      </c>
    </row>
    <row r="332" spans="1:9" x14ac:dyDescent="0.4">
      <c r="A332" s="14">
        <v>44173</v>
      </c>
      <c r="B332" s="5">
        <v>68095</v>
      </c>
      <c r="C332" s="5" t="s">
        <v>23</v>
      </c>
      <c r="D332" s="5">
        <v>789</v>
      </c>
      <c r="E332" s="5">
        <v>1</v>
      </c>
      <c r="F332" s="5">
        <v>10</v>
      </c>
      <c r="G332" s="14">
        <v>29918</v>
      </c>
      <c r="H332" s="5">
        <v>600981</v>
      </c>
      <c r="I332" s="5" t="s">
        <v>14</v>
      </c>
    </row>
    <row r="333" spans="1:9" x14ac:dyDescent="0.4">
      <c r="A333" s="14">
        <v>43935</v>
      </c>
      <c r="B333" s="5">
        <v>21296</v>
      </c>
      <c r="C333" s="5" t="s">
        <v>32</v>
      </c>
      <c r="D333" s="5">
        <v>776</v>
      </c>
      <c r="E333" s="5">
        <v>4</v>
      </c>
      <c r="F333" s="5">
        <v>6</v>
      </c>
      <c r="G333" s="14">
        <v>34394</v>
      </c>
      <c r="H333" s="5">
        <v>558964</v>
      </c>
      <c r="I333" s="5" t="s">
        <v>14</v>
      </c>
    </row>
    <row r="334" spans="1:9" x14ac:dyDescent="0.4">
      <c r="A334" s="14">
        <v>43971</v>
      </c>
      <c r="B334" s="5">
        <v>90928</v>
      </c>
      <c r="C334" s="5" t="s">
        <v>13</v>
      </c>
      <c r="D334" s="5">
        <v>732</v>
      </c>
      <c r="E334" s="5">
        <v>4</v>
      </c>
      <c r="F334" s="5">
        <v>1</v>
      </c>
      <c r="G334" s="14">
        <v>32991</v>
      </c>
      <c r="H334" s="5">
        <v>554305</v>
      </c>
      <c r="I334" s="5" t="s">
        <v>14</v>
      </c>
    </row>
    <row r="335" spans="1:9" x14ac:dyDescent="0.4">
      <c r="A335" s="14">
        <v>43845</v>
      </c>
      <c r="B335" s="5">
        <v>37262</v>
      </c>
      <c r="C335" s="5" t="s">
        <v>34</v>
      </c>
      <c r="D335" s="5">
        <v>724</v>
      </c>
      <c r="E335" s="5">
        <v>4</v>
      </c>
      <c r="F335" s="5">
        <v>5</v>
      </c>
      <c r="G335" s="14">
        <v>32530</v>
      </c>
      <c r="H335" s="5">
        <v>937359</v>
      </c>
      <c r="I335" s="5" t="s">
        <v>14</v>
      </c>
    </row>
    <row r="336" spans="1:9" x14ac:dyDescent="0.4">
      <c r="A336" s="14">
        <v>44119</v>
      </c>
      <c r="B336" s="5">
        <v>49542</v>
      </c>
      <c r="C336" s="5" t="s">
        <v>16</v>
      </c>
      <c r="D336" s="5">
        <v>769</v>
      </c>
      <c r="E336" s="5">
        <v>3</v>
      </c>
      <c r="F336" s="5">
        <v>3</v>
      </c>
      <c r="G336" s="14">
        <v>29503</v>
      </c>
      <c r="H336" s="5">
        <v>953095</v>
      </c>
      <c r="I336" s="5" t="s">
        <v>14</v>
      </c>
    </row>
    <row r="337" spans="1:9" x14ac:dyDescent="0.4">
      <c r="A337" s="14">
        <v>43995</v>
      </c>
      <c r="B337" s="5">
        <v>19460</v>
      </c>
      <c r="C337" s="5" t="s">
        <v>15</v>
      </c>
      <c r="D337" s="5">
        <v>711</v>
      </c>
      <c r="E337" s="5">
        <v>4</v>
      </c>
      <c r="F337" s="5">
        <v>4</v>
      </c>
      <c r="G337" s="14">
        <v>29378</v>
      </c>
      <c r="H337" s="5">
        <v>832167</v>
      </c>
      <c r="I337" s="5" t="s">
        <v>10</v>
      </c>
    </row>
    <row r="338" spans="1:9" x14ac:dyDescent="0.4">
      <c r="A338" s="14">
        <v>43896</v>
      </c>
      <c r="B338" s="5">
        <v>71591</v>
      </c>
      <c r="C338" s="5" t="s">
        <v>24</v>
      </c>
      <c r="D338" s="5">
        <v>749</v>
      </c>
      <c r="E338" s="5">
        <v>3</v>
      </c>
      <c r="F338" s="5">
        <v>7</v>
      </c>
      <c r="G338" s="14">
        <v>30627</v>
      </c>
      <c r="H338" s="5">
        <v>736748</v>
      </c>
      <c r="I338" s="5" t="s">
        <v>17</v>
      </c>
    </row>
    <row r="339" spans="1:9" x14ac:dyDescent="0.4">
      <c r="A339" s="14">
        <v>43847</v>
      </c>
      <c r="B339" s="5">
        <v>46828</v>
      </c>
      <c r="C339" s="5" t="s">
        <v>11</v>
      </c>
      <c r="D339" s="5">
        <v>785</v>
      </c>
      <c r="E339" s="5">
        <v>1</v>
      </c>
      <c r="F339" s="5">
        <v>2</v>
      </c>
      <c r="G339" s="14">
        <v>33422</v>
      </c>
      <c r="H339" s="5">
        <v>538085</v>
      </c>
      <c r="I339" s="5" t="s">
        <v>10</v>
      </c>
    </row>
    <row r="340" spans="1:9" x14ac:dyDescent="0.4">
      <c r="A340" s="14">
        <v>43869</v>
      </c>
      <c r="B340" s="5">
        <v>11895</v>
      </c>
      <c r="C340" s="5" t="s">
        <v>16</v>
      </c>
      <c r="D340" s="5">
        <v>759</v>
      </c>
      <c r="E340" s="5">
        <v>3</v>
      </c>
      <c r="F340" s="5">
        <v>1</v>
      </c>
      <c r="G340" s="14">
        <v>31578</v>
      </c>
      <c r="H340" s="5">
        <v>822716</v>
      </c>
      <c r="I340" s="5" t="s">
        <v>10</v>
      </c>
    </row>
    <row r="341" spans="1:9" x14ac:dyDescent="0.4">
      <c r="A341" s="14">
        <v>43833</v>
      </c>
      <c r="B341" s="5">
        <v>71328</v>
      </c>
      <c r="C341" s="5" t="s">
        <v>24</v>
      </c>
      <c r="D341" s="5">
        <v>708</v>
      </c>
      <c r="E341" s="5">
        <v>2</v>
      </c>
      <c r="F341" s="5">
        <v>7</v>
      </c>
      <c r="G341" s="14">
        <v>32941</v>
      </c>
      <c r="H341" s="5">
        <v>763608</v>
      </c>
      <c r="I341" s="5" t="s">
        <v>10</v>
      </c>
    </row>
    <row r="342" spans="1:9" x14ac:dyDescent="0.4">
      <c r="A342" s="14">
        <v>43912</v>
      </c>
      <c r="B342" s="5">
        <v>79650</v>
      </c>
      <c r="C342" s="5" t="s">
        <v>24</v>
      </c>
      <c r="D342" s="5">
        <v>745</v>
      </c>
      <c r="E342" s="5">
        <v>5</v>
      </c>
      <c r="F342" s="5">
        <v>3</v>
      </c>
      <c r="G342" s="14">
        <v>30212</v>
      </c>
      <c r="H342" s="5">
        <v>651822</v>
      </c>
      <c r="I342" s="5" t="s">
        <v>17</v>
      </c>
    </row>
    <row r="343" spans="1:9" x14ac:dyDescent="0.4">
      <c r="A343" s="14">
        <v>43972</v>
      </c>
      <c r="B343" s="5">
        <v>38104</v>
      </c>
      <c r="C343" s="5" t="s">
        <v>16</v>
      </c>
      <c r="D343" s="5">
        <v>799</v>
      </c>
      <c r="E343" s="5">
        <v>4</v>
      </c>
      <c r="F343" s="5">
        <v>2</v>
      </c>
      <c r="G343" s="14">
        <v>31117</v>
      </c>
      <c r="H343" s="5">
        <v>630500</v>
      </c>
      <c r="I343" s="5" t="s">
        <v>14</v>
      </c>
    </row>
    <row r="344" spans="1:9" x14ac:dyDescent="0.4">
      <c r="A344" s="14">
        <v>44083</v>
      </c>
      <c r="B344" s="5">
        <v>54538</v>
      </c>
      <c r="C344" s="5" t="s">
        <v>15</v>
      </c>
      <c r="D344" s="5">
        <v>760</v>
      </c>
      <c r="E344" s="5">
        <v>1</v>
      </c>
      <c r="F344" s="5">
        <v>5</v>
      </c>
      <c r="G344" s="14">
        <v>29533</v>
      </c>
      <c r="H344" s="5">
        <v>787402</v>
      </c>
      <c r="I344" s="5" t="s">
        <v>10</v>
      </c>
    </row>
    <row r="345" spans="1:9" x14ac:dyDescent="0.4">
      <c r="A345" s="14">
        <v>44045</v>
      </c>
      <c r="B345" s="5">
        <v>45379</v>
      </c>
      <c r="C345" s="5" t="s">
        <v>24</v>
      </c>
      <c r="D345" s="5">
        <v>760</v>
      </c>
      <c r="E345" s="5">
        <v>4</v>
      </c>
      <c r="F345" s="5">
        <v>6</v>
      </c>
      <c r="G345" s="14">
        <v>33167</v>
      </c>
      <c r="H345" s="5">
        <v>978466</v>
      </c>
      <c r="I345" s="5" t="s">
        <v>17</v>
      </c>
    </row>
    <row r="346" spans="1:9" x14ac:dyDescent="0.4">
      <c r="A346" s="14">
        <v>43938</v>
      </c>
      <c r="B346" s="5">
        <v>33385</v>
      </c>
      <c r="C346" s="5" t="s">
        <v>20</v>
      </c>
      <c r="D346" s="5">
        <v>784</v>
      </c>
      <c r="E346" s="5">
        <v>5</v>
      </c>
      <c r="F346" s="5">
        <v>3</v>
      </c>
      <c r="G346" s="14">
        <v>30338</v>
      </c>
      <c r="H346" s="5">
        <v>968487</v>
      </c>
      <c r="I346" s="5" t="s">
        <v>14</v>
      </c>
    </row>
    <row r="347" spans="1:9" x14ac:dyDescent="0.4">
      <c r="A347" s="14">
        <v>43943</v>
      </c>
      <c r="B347" s="5">
        <v>60123</v>
      </c>
      <c r="C347" s="5" t="s">
        <v>28</v>
      </c>
      <c r="D347" s="5">
        <v>717</v>
      </c>
      <c r="E347" s="5">
        <v>4</v>
      </c>
      <c r="F347" s="5">
        <v>1</v>
      </c>
      <c r="G347" s="14">
        <v>30994</v>
      </c>
      <c r="H347" s="5">
        <v>809815</v>
      </c>
      <c r="I347" s="5" t="s">
        <v>17</v>
      </c>
    </row>
    <row r="348" spans="1:9" x14ac:dyDescent="0.4">
      <c r="A348" s="14">
        <v>44008</v>
      </c>
      <c r="B348" s="5">
        <v>21107</v>
      </c>
      <c r="C348" s="5" t="s">
        <v>21</v>
      </c>
      <c r="D348" s="5">
        <v>772</v>
      </c>
      <c r="E348" s="5">
        <v>4</v>
      </c>
      <c r="F348" s="5">
        <v>3</v>
      </c>
      <c r="G348" s="14">
        <v>31670</v>
      </c>
      <c r="H348" s="5">
        <v>568425</v>
      </c>
      <c r="I348" s="5" t="s">
        <v>17</v>
      </c>
    </row>
    <row r="349" spans="1:9" x14ac:dyDescent="0.4">
      <c r="A349" s="14">
        <v>44010</v>
      </c>
      <c r="B349" s="5">
        <v>11188</v>
      </c>
      <c r="C349" s="5" t="s">
        <v>15</v>
      </c>
      <c r="D349" s="5">
        <v>737</v>
      </c>
      <c r="E349" s="5">
        <v>3</v>
      </c>
      <c r="F349" s="5">
        <v>8</v>
      </c>
      <c r="G349" s="14">
        <v>31252</v>
      </c>
      <c r="H349" s="5">
        <v>726186</v>
      </c>
      <c r="I349" s="5" t="s">
        <v>14</v>
      </c>
    </row>
    <row r="350" spans="1:9" x14ac:dyDescent="0.4">
      <c r="A350" s="14">
        <v>43951</v>
      </c>
      <c r="B350" s="5">
        <v>13164</v>
      </c>
      <c r="C350" s="5" t="s">
        <v>22</v>
      </c>
      <c r="D350" s="5">
        <v>786</v>
      </c>
      <c r="E350" s="5">
        <v>5</v>
      </c>
      <c r="F350" s="5">
        <v>8</v>
      </c>
      <c r="G350" s="14">
        <v>30263</v>
      </c>
      <c r="H350" s="5">
        <v>634419</v>
      </c>
      <c r="I350" s="5" t="s">
        <v>10</v>
      </c>
    </row>
    <row r="351" spans="1:9" x14ac:dyDescent="0.4">
      <c r="A351" s="14">
        <v>43959</v>
      </c>
      <c r="B351" s="5">
        <v>51995</v>
      </c>
      <c r="C351" s="5" t="s">
        <v>18</v>
      </c>
      <c r="D351" s="5">
        <v>705</v>
      </c>
      <c r="E351" s="5">
        <v>1</v>
      </c>
      <c r="F351" s="5">
        <v>10</v>
      </c>
      <c r="G351" s="14">
        <v>31045</v>
      </c>
      <c r="H351" s="5">
        <v>832960</v>
      </c>
      <c r="I351" s="5" t="s">
        <v>17</v>
      </c>
    </row>
    <row r="352" spans="1:9" x14ac:dyDescent="0.4">
      <c r="A352" s="14">
        <v>44037</v>
      </c>
      <c r="B352" s="5">
        <v>30016</v>
      </c>
      <c r="C352" s="5" t="s">
        <v>13</v>
      </c>
      <c r="D352" s="5">
        <v>788</v>
      </c>
      <c r="E352" s="5">
        <v>4</v>
      </c>
      <c r="F352" s="5">
        <v>6</v>
      </c>
      <c r="G352" s="14">
        <v>33910</v>
      </c>
      <c r="H352" s="5">
        <v>818229</v>
      </c>
      <c r="I352" s="5" t="s">
        <v>14</v>
      </c>
    </row>
    <row r="353" spans="1:9" x14ac:dyDescent="0.4">
      <c r="A353" s="14">
        <v>44054</v>
      </c>
      <c r="B353" s="5">
        <v>28479</v>
      </c>
      <c r="C353" s="5" t="s">
        <v>24</v>
      </c>
      <c r="D353" s="5">
        <v>754</v>
      </c>
      <c r="E353" s="5">
        <v>2</v>
      </c>
      <c r="F353" s="5">
        <v>5</v>
      </c>
      <c r="G353" s="14">
        <v>30891</v>
      </c>
      <c r="H353" s="5">
        <v>532656</v>
      </c>
      <c r="I353" s="5" t="s">
        <v>14</v>
      </c>
    </row>
    <row r="354" spans="1:9" x14ac:dyDescent="0.4">
      <c r="A354" s="14">
        <v>44046</v>
      </c>
      <c r="B354" s="5">
        <v>41874</v>
      </c>
      <c r="C354" s="5" t="s">
        <v>21</v>
      </c>
      <c r="D354" s="5">
        <v>763</v>
      </c>
      <c r="E354" s="5">
        <v>5</v>
      </c>
      <c r="F354" s="5">
        <v>2</v>
      </c>
      <c r="G354" s="14">
        <v>29248</v>
      </c>
      <c r="H354" s="5">
        <v>758974</v>
      </c>
      <c r="I354" s="5" t="s">
        <v>10</v>
      </c>
    </row>
    <row r="355" spans="1:9" x14ac:dyDescent="0.4">
      <c r="A355" s="14">
        <v>43949</v>
      </c>
      <c r="B355" s="5">
        <v>74554</v>
      </c>
      <c r="C355" s="5" t="s">
        <v>18</v>
      </c>
      <c r="D355" s="5">
        <v>789</v>
      </c>
      <c r="E355" s="5">
        <v>2</v>
      </c>
      <c r="F355" s="5">
        <v>3</v>
      </c>
      <c r="G355" s="14">
        <v>30908</v>
      </c>
      <c r="H355" s="5">
        <v>810117</v>
      </c>
      <c r="I355" s="5" t="s">
        <v>10</v>
      </c>
    </row>
    <row r="356" spans="1:9" x14ac:dyDescent="0.4">
      <c r="A356" s="14">
        <v>43982</v>
      </c>
      <c r="B356" s="5">
        <v>61483</v>
      </c>
      <c r="C356" s="5" t="s">
        <v>21</v>
      </c>
      <c r="D356" s="5">
        <v>780</v>
      </c>
      <c r="E356" s="5">
        <v>1</v>
      </c>
      <c r="F356" s="5">
        <v>8</v>
      </c>
      <c r="G356" s="14">
        <v>34051</v>
      </c>
      <c r="H356" s="5">
        <v>559031</v>
      </c>
      <c r="I356" s="5" t="s">
        <v>17</v>
      </c>
    </row>
    <row r="357" spans="1:9" x14ac:dyDescent="0.4">
      <c r="A357" s="14">
        <v>44005</v>
      </c>
      <c r="B357" s="5">
        <v>38125</v>
      </c>
      <c r="C357" s="5" t="s">
        <v>9</v>
      </c>
      <c r="D357" s="5">
        <v>703</v>
      </c>
      <c r="E357" s="5">
        <v>1</v>
      </c>
      <c r="F357" s="5">
        <v>9</v>
      </c>
      <c r="G357" s="14">
        <v>34095</v>
      </c>
      <c r="H357" s="5">
        <v>823279</v>
      </c>
      <c r="I357" s="5" t="s">
        <v>17</v>
      </c>
    </row>
    <row r="358" spans="1:9" x14ac:dyDescent="0.4">
      <c r="A358" s="14">
        <v>44005</v>
      </c>
      <c r="B358" s="5">
        <v>20075</v>
      </c>
      <c r="C358" s="5" t="s">
        <v>27</v>
      </c>
      <c r="D358" s="5">
        <v>751</v>
      </c>
      <c r="E358" s="5">
        <v>1</v>
      </c>
      <c r="F358" s="5">
        <v>4</v>
      </c>
      <c r="G358" s="14">
        <v>32699</v>
      </c>
      <c r="H358" s="5">
        <v>686408</v>
      </c>
      <c r="I358" s="5" t="s">
        <v>17</v>
      </c>
    </row>
    <row r="359" spans="1:9" x14ac:dyDescent="0.4">
      <c r="A359" s="14">
        <v>43928</v>
      </c>
      <c r="B359" s="5">
        <v>34089</v>
      </c>
      <c r="C359" s="5" t="s">
        <v>34</v>
      </c>
      <c r="D359" s="5">
        <v>758</v>
      </c>
      <c r="E359" s="5">
        <v>1</v>
      </c>
      <c r="F359" s="5">
        <v>9</v>
      </c>
      <c r="G359" s="14">
        <v>32845</v>
      </c>
      <c r="H359" s="5">
        <v>504344</v>
      </c>
      <c r="I359" s="5" t="s">
        <v>14</v>
      </c>
    </row>
    <row r="360" spans="1:9" x14ac:dyDescent="0.4">
      <c r="A360" s="14">
        <v>43879</v>
      </c>
      <c r="B360" s="5">
        <v>55948</v>
      </c>
      <c r="C360" s="5" t="s">
        <v>30</v>
      </c>
      <c r="D360" s="5">
        <v>769</v>
      </c>
      <c r="E360" s="5">
        <v>3</v>
      </c>
      <c r="F360" s="5">
        <v>10</v>
      </c>
      <c r="G360" s="14">
        <v>31351</v>
      </c>
      <c r="H360" s="5">
        <v>723968</v>
      </c>
      <c r="I360" s="5" t="s">
        <v>10</v>
      </c>
    </row>
    <row r="361" spans="1:9" x14ac:dyDescent="0.4">
      <c r="A361" s="14">
        <v>43973</v>
      </c>
      <c r="B361" s="5">
        <v>68637</v>
      </c>
      <c r="C361" s="5" t="s">
        <v>18</v>
      </c>
      <c r="D361" s="5">
        <v>759</v>
      </c>
      <c r="E361" s="5">
        <v>5</v>
      </c>
      <c r="F361" s="5">
        <v>3</v>
      </c>
      <c r="G361" s="14">
        <v>33235</v>
      </c>
      <c r="H361" s="5">
        <v>761551</v>
      </c>
      <c r="I361" s="5" t="s">
        <v>14</v>
      </c>
    </row>
    <row r="362" spans="1:9" x14ac:dyDescent="0.4">
      <c r="A362" s="14">
        <v>43991</v>
      </c>
      <c r="B362" s="5">
        <v>77021</v>
      </c>
      <c r="C362" s="5" t="s">
        <v>18</v>
      </c>
      <c r="D362" s="5">
        <v>733</v>
      </c>
      <c r="E362" s="5">
        <v>4</v>
      </c>
      <c r="F362" s="5">
        <v>10</v>
      </c>
      <c r="G362" s="14">
        <v>33500</v>
      </c>
      <c r="H362" s="5">
        <v>574112</v>
      </c>
      <c r="I362" s="5" t="s">
        <v>17</v>
      </c>
    </row>
    <row r="363" spans="1:9" x14ac:dyDescent="0.4">
      <c r="A363" s="14">
        <v>43957</v>
      </c>
      <c r="B363" s="5">
        <v>66367</v>
      </c>
      <c r="C363" s="5" t="s">
        <v>25</v>
      </c>
      <c r="D363" s="5">
        <v>704</v>
      </c>
      <c r="E363" s="5">
        <v>2</v>
      </c>
      <c r="F363" s="5">
        <v>7</v>
      </c>
      <c r="G363" s="14">
        <v>34603</v>
      </c>
      <c r="H363" s="5">
        <v>583695</v>
      </c>
      <c r="I363" s="5" t="s">
        <v>14</v>
      </c>
    </row>
    <row r="364" spans="1:9" x14ac:dyDescent="0.4">
      <c r="A364" s="14">
        <v>43944</v>
      </c>
      <c r="B364" s="5">
        <v>41344</v>
      </c>
      <c r="C364" s="5" t="s">
        <v>13</v>
      </c>
      <c r="D364" s="5">
        <v>744</v>
      </c>
      <c r="E364" s="5">
        <v>4</v>
      </c>
      <c r="F364" s="5">
        <v>10</v>
      </c>
      <c r="G364" s="14">
        <v>31601</v>
      </c>
      <c r="H364" s="5">
        <v>538870</v>
      </c>
      <c r="I364" s="5" t="s">
        <v>17</v>
      </c>
    </row>
    <row r="365" spans="1:9" x14ac:dyDescent="0.4">
      <c r="A365" s="14">
        <v>44112</v>
      </c>
      <c r="B365" s="5">
        <v>84420</v>
      </c>
      <c r="C365" s="5" t="s">
        <v>9</v>
      </c>
      <c r="D365" s="5">
        <v>744</v>
      </c>
      <c r="E365" s="5">
        <v>4</v>
      </c>
      <c r="F365" s="5">
        <v>8</v>
      </c>
      <c r="G365" s="14">
        <v>34626</v>
      </c>
      <c r="H365" s="5">
        <v>769396</v>
      </c>
      <c r="I365" s="5" t="s">
        <v>14</v>
      </c>
    </row>
    <row r="366" spans="1:9" x14ac:dyDescent="0.4">
      <c r="A366" s="14">
        <v>44078</v>
      </c>
      <c r="B366" s="5">
        <v>79734</v>
      </c>
      <c r="C366" s="5" t="s">
        <v>28</v>
      </c>
      <c r="D366" s="5">
        <v>709</v>
      </c>
      <c r="E366" s="5">
        <v>1</v>
      </c>
      <c r="F366" s="5">
        <v>1</v>
      </c>
      <c r="G366" s="14">
        <v>29444</v>
      </c>
      <c r="H366" s="5">
        <v>713594</v>
      </c>
      <c r="I366" s="5" t="s">
        <v>14</v>
      </c>
    </row>
    <row r="367" spans="1:9" x14ac:dyDescent="0.4">
      <c r="A367" s="14">
        <v>44137</v>
      </c>
      <c r="B367" s="5">
        <v>12675</v>
      </c>
      <c r="C367" s="5" t="s">
        <v>23</v>
      </c>
      <c r="D367" s="5">
        <v>764</v>
      </c>
      <c r="E367" s="5">
        <v>5</v>
      </c>
      <c r="F367" s="5">
        <v>3</v>
      </c>
      <c r="G367" s="14">
        <v>31988</v>
      </c>
      <c r="H367" s="5">
        <v>773457</v>
      </c>
      <c r="I367" s="5" t="s">
        <v>14</v>
      </c>
    </row>
    <row r="368" spans="1:9" x14ac:dyDescent="0.4">
      <c r="A368" s="14">
        <v>43831</v>
      </c>
      <c r="B368" s="5">
        <v>79116</v>
      </c>
      <c r="C368" s="5" t="s">
        <v>25</v>
      </c>
      <c r="D368" s="5">
        <v>766</v>
      </c>
      <c r="E368" s="5">
        <v>3</v>
      </c>
      <c r="F368" s="5">
        <v>10</v>
      </c>
      <c r="G368" s="14">
        <v>32697</v>
      </c>
      <c r="H368" s="5">
        <v>856437</v>
      </c>
      <c r="I368" s="5" t="s">
        <v>14</v>
      </c>
    </row>
    <row r="369" spans="1:9" x14ac:dyDescent="0.4">
      <c r="A369" s="14">
        <v>44082</v>
      </c>
      <c r="B369" s="5">
        <v>91297</v>
      </c>
      <c r="C369" s="5" t="s">
        <v>34</v>
      </c>
      <c r="D369" s="5">
        <v>792</v>
      </c>
      <c r="E369" s="5">
        <v>5</v>
      </c>
      <c r="F369" s="5">
        <v>8</v>
      </c>
      <c r="G369" s="14">
        <v>34033</v>
      </c>
      <c r="H369" s="5">
        <v>729592</v>
      </c>
      <c r="I369" s="5" t="s">
        <v>10</v>
      </c>
    </row>
    <row r="370" spans="1:9" x14ac:dyDescent="0.4">
      <c r="A370" s="14">
        <v>43916</v>
      </c>
      <c r="B370" s="5">
        <v>66835</v>
      </c>
      <c r="C370" s="5" t="s">
        <v>34</v>
      </c>
      <c r="D370" s="5">
        <v>721</v>
      </c>
      <c r="E370" s="5">
        <v>5</v>
      </c>
      <c r="F370" s="5">
        <v>5</v>
      </c>
      <c r="G370" s="14">
        <v>30665</v>
      </c>
      <c r="H370" s="5">
        <v>702123</v>
      </c>
      <c r="I370" s="5" t="s">
        <v>14</v>
      </c>
    </row>
    <row r="371" spans="1:9" x14ac:dyDescent="0.4">
      <c r="A371" s="14">
        <v>44174</v>
      </c>
      <c r="B371" s="5">
        <v>85147</v>
      </c>
      <c r="C371" s="5" t="s">
        <v>35</v>
      </c>
      <c r="D371" s="5">
        <v>798</v>
      </c>
      <c r="E371" s="5">
        <v>3</v>
      </c>
      <c r="F371" s="5">
        <v>2</v>
      </c>
      <c r="G371" s="14">
        <v>34251</v>
      </c>
      <c r="H371" s="5">
        <v>623600</v>
      </c>
      <c r="I371" s="5" t="s">
        <v>10</v>
      </c>
    </row>
    <row r="372" spans="1:9" x14ac:dyDescent="0.4">
      <c r="A372" s="14">
        <v>43901</v>
      </c>
      <c r="B372" s="5">
        <v>11262</v>
      </c>
      <c r="C372" s="5" t="s">
        <v>16</v>
      </c>
      <c r="D372" s="5">
        <v>734</v>
      </c>
      <c r="E372" s="5">
        <v>2</v>
      </c>
      <c r="F372" s="5">
        <v>2</v>
      </c>
      <c r="G372" s="14">
        <v>29416</v>
      </c>
      <c r="H372" s="5">
        <v>982748</v>
      </c>
      <c r="I372" s="5" t="s">
        <v>14</v>
      </c>
    </row>
    <row r="373" spans="1:9" x14ac:dyDescent="0.4">
      <c r="A373" s="14">
        <v>43996</v>
      </c>
      <c r="B373" s="5">
        <v>40889</v>
      </c>
      <c r="C373" s="5" t="s">
        <v>16</v>
      </c>
      <c r="D373" s="5">
        <v>749</v>
      </c>
      <c r="E373" s="5">
        <v>2</v>
      </c>
      <c r="F373" s="5">
        <v>9</v>
      </c>
      <c r="G373" s="14">
        <v>34085</v>
      </c>
      <c r="H373" s="5">
        <v>615354</v>
      </c>
      <c r="I373" s="5" t="s">
        <v>14</v>
      </c>
    </row>
    <row r="374" spans="1:9" x14ac:dyDescent="0.4">
      <c r="A374" s="14">
        <v>44051</v>
      </c>
      <c r="B374" s="5">
        <v>74690</v>
      </c>
      <c r="C374" s="5" t="s">
        <v>22</v>
      </c>
      <c r="D374" s="5">
        <v>785</v>
      </c>
      <c r="E374" s="5">
        <v>4</v>
      </c>
      <c r="F374" s="5">
        <v>9</v>
      </c>
      <c r="G374" s="14">
        <v>31290</v>
      </c>
      <c r="H374" s="5">
        <v>644526</v>
      </c>
      <c r="I374" s="5" t="s">
        <v>10</v>
      </c>
    </row>
    <row r="375" spans="1:9" x14ac:dyDescent="0.4">
      <c r="A375" s="14">
        <v>44127</v>
      </c>
      <c r="B375" s="5">
        <v>26821</v>
      </c>
      <c r="C375" s="5" t="s">
        <v>29</v>
      </c>
      <c r="D375" s="5">
        <v>789</v>
      </c>
      <c r="E375" s="5">
        <v>3</v>
      </c>
      <c r="F375" s="5">
        <v>6</v>
      </c>
      <c r="G375" s="14">
        <v>29616</v>
      </c>
      <c r="H375" s="5">
        <v>779848</v>
      </c>
      <c r="I375" s="5" t="s">
        <v>14</v>
      </c>
    </row>
    <row r="376" spans="1:9" x14ac:dyDescent="0.4">
      <c r="A376" s="14">
        <v>44151</v>
      </c>
      <c r="B376" s="5">
        <v>51838</v>
      </c>
      <c r="C376" s="5" t="s">
        <v>12</v>
      </c>
      <c r="D376" s="5">
        <v>794</v>
      </c>
      <c r="E376" s="5">
        <v>1</v>
      </c>
      <c r="F376" s="5">
        <v>1</v>
      </c>
      <c r="G376" s="14">
        <v>33897</v>
      </c>
      <c r="H376" s="5">
        <v>878956</v>
      </c>
      <c r="I376" s="5" t="s">
        <v>17</v>
      </c>
    </row>
    <row r="377" spans="1:9" x14ac:dyDescent="0.4">
      <c r="A377" s="14">
        <v>43840</v>
      </c>
      <c r="B377" s="5">
        <v>58565</v>
      </c>
      <c r="C377" s="5" t="s">
        <v>12</v>
      </c>
      <c r="D377" s="5">
        <v>754</v>
      </c>
      <c r="E377" s="5">
        <v>1</v>
      </c>
      <c r="F377" s="5">
        <v>9</v>
      </c>
      <c r="G377" s="14">
        <v>29430</v>
      </c>
      <c r="H377" s="5">
        <v>961982</v>
      </c>
      <c r="I377" s="5" t="s">
        <v>10</v>
      </c>
    </row>
    <row r="378" spans="1:9" x14ac:dyDescent="0.4">
      <c r="A378" s="14">
        <v>44079</v>
      </c>
      <c r="B378" s="5">
        <v>88271</v>
      </c>
      <c r="C378" s="5" t="s">
        <v>27</v>
      </c>
      <c r="D378" s="5">
        <v>725</v>
      </c>
      <c r="E378" s="5">
        <v>5</v>
      </c>
      <c r="F378" s="5">
        <v>7</v>
      </c>
      <c r="G378" s="14">
        <v>31721</v>
      </c>
      <c r="H378" s="5">
        <v>915415</v>
      </c>
      <c r="I378" s="5" t="s">
        <v>17</v>
      </c>
    </row>
    <row r="379" spans="1:9" x14ac:dyDescent="0.4">
      <c r="A379" s="14">
        <v>43844</v>
      </c>
      <c r="B379" s="5">
        <v>38437</v>
      </c>
      <c r="C379" s="5" t="s">
        <v>26</v>
      </c>
      <c r="D379" s="5">
        <v>756</v>
      </c>
      <c r="E379" s="5">
        <v>1</v>
      </c>
      <c r="F379" s="5">
        <v>3</v>
      </c>
      <c r="G379" s="14">
        <v>34580</v>
      </c>
      <c r="H379" s="5">
        <v>825960</v>
      </c>
      <c r="I379" s="5" t="s">
        <v>17</v>
      </c>
    </row>
    <row r="380" spans="1:9" x14ac:dyDescent="0.4">
      <c r="A380" s="14">
        <v>44069</v>
      </c>
      <c r="B380" s="5">
        <v>91996</v>
      </c>
      <c r="C380" s="5" t="s">
        <v>23</v>
      </c>
      <c r="D380" s="5">
        <v>752</v>
      </c>
      <c r="E380" s="5">
        <v>2</v>
      </c>
      <c r="F380" s="5">
        <v>6</v>
      </c>
      <c r="G380" s="14">
        <v>30569</v>
      </c>
      <c r="H380" s="5">
        <v>724004</v>
      </c>
      <c r="I380" s="5" t="s">
        <v>17</v>
      </c>
    </row>
    <row r="381" spans="1:9" x14ac:dyDescent="0.4">
      <c r="A381" s="14">
        <v>43890</v>
      </c>
      <c r="B381" s="5">
        <v>91200</v>
      </c>
      <c r="C381" s="5" t="s">
        <v>34</v>
      </c>
      <c r="D381" s="5">
        <v>756</v>
      </c>
      <c r="E381" s="5">
        <v>3</v>
      </c>
      <c r="F381" s="5">
        <v>6</v>
      </c>
      <c r="G381" s="14">
        <v>34425</v>
      </c>
      <c r="H381" s="5">
        <v>866470</v>
      </c>
      <c r="I381" s="5" t="s">
        <v>10</v>
      </c>
    </row>
    <row r="382" spans="1:9" x14ac:dyDescent="0.4">
      <c r="A382" s="14">
        <v>43922</v>
      </c>
      <c r="B382" s="5">
        <v>10248</v>
      </c>
      <c r="C382" s="5" t="s">
        <v>13</v>
      </c>
      <c r="D382" s="5">
        <v>731</v>
      </c>
      <c r="E382" s="5">
        <v>1</v>
      </c>
      <c r="F382" s="5">
        <v>4</v>
      </c>
      <c r="G382" s="14">
        <v>29797</v>
      </c>
      <c r="H382" s="5">
        <v>905685</v>
      </c>
      <c r="I382" s="5" t="s">
        <v>10</v>
      </c>
    </row>
    <row r="383" spans="1:9" x14ac:dyDescent="0.4">
      <c r="A383" s="14">
        <v>44004</v>
      </c>
      <c r="B383" s="5">
        <v>66881</v>
      </c>
      <c r="C383" s="5" t="s">
        <v>19</v>
      </c>
      <c r="D383" s="5">
        <v>785</v>
      </c>
      <c r="E383" s="5">
        <v>3</v>
      </c>
      <c r="F383" s="5">
        <v>7</v>
      </c>
      <c r="G383" s="14">
        <v>34197</v>
      </c>
      <c r="H383" s="5">
        <v>991743</v>
      </c>
      <c r="I383" s="5" t="s">
        <v>10</v>
      </c>
    </row>
    <row r="384" spans="1:9" x14ac:dyDescent="0.4">
      <c r="A384" s="14">
        <v>43914</v>
      </c>
      <c r="B384" s="5">
        <v>90742</v>
      </c>
      <c r="C384" s="5" t="s">
        <v>27</v>
      </c>
      <c r="D384" s="5">
        <v>732</v>
      </c>
      <c r="E384" s="5">
        <v>4</v>
      </c>
      <c r="F384" s="5">
        <v>5</v>
      </c>
      <c r="G384" s="14">
        <v>29916</v>
      </c>
      <c r="H384" s="5">
        <v>735308</v>
      </c>
      <c r="I384" s="5" t="s">
        <v>14</v>
      </c>
    </row>
    <row r="385" spans="1:9" x14ac:dyDescent="0.4">
      <c r="A385" s="14">
        <v>44022</v>
      </c>
      <c r="B385" s="5">
        <v>50565</v>
      </c>
      <c r="C385" s="5" t="s">
        <v>30</v>
      </c>
      <c r="D385" s="5">
        <v>752</v>
      </c>
      <c r="E385" s="5">
        <v>3</v>
      </c>
      <c r="F385" s="5">
        <v>4</v>
      </c>
      <c r="G385" s="14">
        <v>30770</v>
      </c>
      <c r="H385" s="5">
        <v>762854</v>
      </c>
      <c r="I385" s="5" t="s">
        <v>17</v>
      </c>
    </row>
    <row r="386" spans="1:9" x14ac:dyDescent="0.4">
      <c r="A386" s="14">
        <v>44097</v>
      </c>
      <c r="B386" s="5">
        <v>67471</v>
      </c>
      <c r="C386" s="5" t="s">
        <v>9</v>
      </c>
      <c r="D386" s="5">
        <v>781</v>
      </c>
      <c r="E386" s="5">
        <v>3</v>
      </c>
      <c r="F386" s="5">
        <v>8</v>
      </c>
      <c r="G386" s="14">
        <v>33289</v>
      </c>
      <c r="H386" s="5">
        <v>902279</v>
      </c>
      <c r="I386" s="5" t="s">
        <v>14</v>
      </c>
    </row>
    <row r="387" spans="1:9" x14ac:dyDescent="0.4">
      <c r="A387" s="14">
        <v>43996</v>
      </c>
      <c r="B387" s="5">
        <v>21521</v>
      </c>
      <c r="C387" s="5" t="s">
        <v>12</v>
      </c>
      <c r="D387" s="5">
        <v>773</v>
      </c>
      <c r="E387" s="5">
        <v>2</v>
      </c>
      <c r="F387" s="5">
        <v>5</v>
      </c>
      <c r="G387" s="14">
        <v>34191</v>
      </c>
      <c r="H387" s="5">
        <v>988216</v>
      </c>
      <c r="I387" s="5" t="s">
        <v>10</v>
      </c>
    </row>
    <row r="388" spans="1:9" x14ac:dyDescent="0.4">
      <c r="A388" s="14">
        <v>44117</v>
      </c>
      <c r="B388" s="5">
        <v>38749</v>
      </c>
      <c r="C388" s="5" t="s">
        <v>21</v>
      </c>
      <c r="D388" s="5">
        <v>753</v>
      </c>
      <c r="E388" s="5">
        <v>5</v>
      </c>
      <c r="F388" s="5">
        <v>6</v>
      </c>
      <c r="G388" s="14">
        <v>30274</v>
      </c>
      <c r="H388" s="5">
        <v>817329</v>
      </c>
      <c r="I388" s="5" t="s">
        <v>14</v>
      </c>
    </row>
    <row r="389" spans="1:9" x14ac:dyDescent="0.4">
      <c r="A389" s="14">
        <v>43866</v>
      </c>
      <c r="B389" s="5">
        <v>48754</v>
      </c>
      <c r="C389" s="5" t="s">
        <v>27</v>
      </c>
      <c r="D389" s="5">
        <v>744</v>
      </c>
      <c r="E389" s="5">
        <v>3</v>
      </c>
      <c r="F389" s="5">
        <v>2</v>
      </c>
      <c r="G389" s="14">
        <v>30887</v>
      </c>
      <c r="H389" s="5">
        <v>833335</v>
      </c>
      <c r="I389" s="5" t="s">
        <v>17</v>
      </c>
    </row>
    <row r="390" spans="1:9" x14ac:dyDescent="0.4">
      <c r="A390" s="14">
        <v>43891</v>
      </c>
      <c r="B390" s="5">
        <v>27621</v>
      </c>
      <c r="C390" s="5" t="s">
        <v>23</v>
      </c>
      <c r="D390" s="5">
        <v>777</v>
      </c>
      <c r="E390" s="5">
        <v>3</v>
      </c>
      <c r="F390" s="5">
        <v>5</v>
      </c>
      <c r="G390" s="14">
        <v>32785</v>
      </c>
      <c r="H390" s="5">
        <v>729603</v>
      </c>
      <c r="I390" s="5" t="s">
        <v>14</v>
      </c>
    </row>
    <row r="391" spans="1:9" x14ac:dyDescent="0.4">
      <c r="A391" s="14">
        <v>44142</v>
      </c>
      <c r="B391" s="5">
        <v>32301</v>
      </c>
      <c r="C391" s="5" t="s">
        <v>9</v>
      </c>
      <c r="D391" s="5">
        <v>793</v>
      </c>
      <c r="E391" s="5">
        <v>2</v>
      </c>
      <c r="F391" s="5">
        <v>8</v>
      </c>
      <c r="G391" s="14">
        <v>31287</v>
      </c>
      <c r="H391" s="5">
        <v>619071</v>
      </c>
      <c r="I391" s="5" t="s">
        <v>10</v>
      </c>
    </row>
    <row r="392" spans="1:9" x14ac:dyDescent="0.4">
      <c r="A392" s="14">
        <v>44122</v>
      </c>
      <c r="B392" s="5">
        <v>17302</v>
      </c>
      <c r="C392" s="5" t="s">
        <v>20</v>
      </c>
      <c r="D392" s="5">
        <v>702</v>
      </c>
      <c r="E392" s="5">
        <v>4</v>
      </c>
      <c r="F392" s="5">
        <v>7</v>
      </c>
      <c r="G392" s="14">
        <v>33746</v>
      </c>
      <c r="H392" s="5">
        <v>508208</v>
      </c>
      <c r="I392" s="5" t="s">
        <v>14</v>
      </c>
    </row>
    <row r="393" spans="1:9" x14ac:dyDescent="0.4">
      <c r="A393" s="14">
        <v>43908</v>
      </c>
      <c r="B393" s="5">
        <v>28539</v>
      </c>
      <c r="C393" s="5" t="s">
        <v>23</v>
      </c>
      <c r="D393" s="5">
        <v>744</v>
      </c>
      <c r="E393" s="5">
        <v>4</v>
      </c>
      <c r="F393" s="5">
        <v>3</v>
      </c>
      <c r="G393" s="14">
        <v>30801</v>
      </c>
      <c r="H393" s="5">
        <v>699440</v>
      </c>
      <c r="I393" s="5" t="s">
        <v>14</v>
      </c>
    </row>
    <row r="394" spans="1:9" x14ac:dyDescent="0.4">
      <c r="A394" s="14">
        <v>44104</v>
      </c>
      <c r="B394" s="5">
        <v>57914</v>
      </c>
      <c r="C394" s="5" t="s">
        <v>15</v>
      </c>
      <c r="D394" s="5">
        <v>800</v>
      </c>
      <c r="E394" s="5">
        <v>5</v>
      </c>
      <c r="F394" s="5">
        <v>8</v>
      </c>
      <c r="G394" s="14">
        <v>32919</v>
      </c>
      <c r="H394" s="5">
        <v>943489</v>
      </c>
      <c r="I394" s="5" t="s">
        <v>10</v>
      </c>
    </row>
    <row r="395" spans="1:9" x14ac:dyDescent="0.4">
      <c r="A395" s="14">
        <v>44098</v>
      </c>
      <c r="B395" s="5">
        <v>77453</v>
      </c>
      <c r="C395" s="5" t="s">
        <v>26</v>
      </c>
      <c r="D395" s="5">
        <v>708</v>
      </c>
      <c r="E395" s="5">
        <v>4</v>
      </c>
      <c r="F395" s="5">
        <v>6</v>
      </c>
      <c r="G395" s="14">
        <v>33112</v>
      </c>
      <c r="H395" s="5">
        <v>651534</v>
      </c>
      <c r="I395" s="5" t="s">
        <v>10</v>
      </c>
    </row>
    <row r="396" spans="1:9" x14ac:dyDescent="0.4">
      <c r="A396" s="14">
        <v>43980</v>
      </c>
      <c r="B396" s="5">
        <v>74686</v>
      </c>
      <c r="C396" s="5" t="s">
        <v>22</v>
      </c>
      <c r="D396" s="5">
        <v>737</v>
      </c>
      <c r="E396" s="5">
        <v>1</v>
      </c>
      <c r="F396" s="5">
        <v>4</v>
      </c>
      <c r="G396" s="14">
        <v>32122</v>
      </c>
      <c r="H396" s="5">
        <v>559159</v>
      </c>
      <c r="I396" s="5" t="s">
        <v>17</v>
      </c>
    </row>
    <row r="397" spans="1:9" x14ac:dyDescent="0.4">
      <c r="A397" s="14">
        <v>43875</v>
      </c>
      <c r="B397" s="5">
        <v>33657</v>
      </c>
      <c r="C397" s="5" t="s">
        <v>28</v>
      </c>
      <c r="D397" s="5">
        <v>768</v>
      </c>
      <c r="E397" s="5">
        <v>3</v>
      </c>
      <c r="F397" s="5">
        <v>8</v>
      </c>
      <c r="G397" s="14">
        <v>29967</v>
      </c>
      <c r="H397" s="5">
        <v>833026</v>
      </c>
      <c r="I397" s="5" t="s">
        <v>10</v>
      </c>
    </row>
    <row r="398" spans="1:9" x14ac:dyDescent="0.4">
      <c r="A398" s="14">
        <v>43975</v>
      </c>
      <c r="B398" s="5">
        <v>94818</v>
      </c>
      <c r="C398" s="5" t="s">
        <v>20</v>
      </c>
      <c r="D398" s="5">
        <v>766</v>
      </c>
      <c r="E398" s="5">
        <v>3</v>
      </c>
      <c r="F398" s="5">
        <v>3</v>
      </c>
      <c r="G398" s="14">
        <v>33574</v>
      </c>
      <c r="H398" s="5">
        <v>778090</v>
      </c>
      <c r="I398" s="5" t="s">
        <v>14</v>
      </c>
    </row>
    <row r="399" spans="1:9" x14ac:dyDescent="0.4">
      <c r="A399" s="14">
        <v>44042</v>
      </c>
      <c r="B399" s="5">
        <v>33999</v>
      </c>
      <c r="C399" s="5" t="s">
        <v>31</v>
      </c>
      <c r="D399" s="5">
        <v>754</v>
      </c>
      <c r="E399" s="5">
        <v>5</v>
      </c>
      <c r="F399" s="5">
        <v>3</v>
      </c>
      <c r="G399" s="14">
        <v>29481</v>
      </c>
      <c r="H399" s="5">
        <v>946160</v>
      </c>
      <c r="I399" s="5" t="s">
        <v>10</v>
      </c>
    </row>
    <row r="400" spans="1:9" x14ac:dyDescent="0.4">
      <c r="A400" s="14">
        <v>43880</v>
      </c>
      <c r="B400" s="5">
        <v>64183</v>
      </c>
      <c r="C400" s="5" t="s">
        <v>20</v>
      </c>
      <c r="D400" s="5">
        <v>785</v>
      </c>
      <c r="E400" s="5">
        <v>3</v>
      </c>
      <c r="F400" s="5">
        <v>1</v>
      </c>
      <c r="G400" s="14">
        <v>32637</v>
      </c>
      <c r="H400" s="5">
        <v>959078</v>
      </c>
      <c r="I400" s="5" t="s">
        <v>17</v>
      </c>
    </row>
    <row r="401" spans="1:9" x14ac:dyDescent="0.4">
      <c r="A401" s="14">
        <v>44159</v>
      </c>
      <c r="B401" s="5">
        <v>89662</v>
      </c>
      <c r="C401" s="5" t="s">
        <v>9</v>
      </c>
      <c r="D401" s="5">
        <v>772</v>
      </c>
      <c r="E401" s="5">
        <v>2</v>
      </c>
      <c r="F401" s="5">
        <v>2</v>
      </c>
      <c r="G401" s="14">
        <v>33066</v>
      </c>
      <c r="H401" s="5">
        <v>900938</v>
      </c>
      <c r="I401" s="5" t="s">
        <v>17</v>
      </c>
    </row>
    <row r="402" spans="1:9" x14ac:dyDescent="0.4">
      <c r="A402" s="14">
        <v>43847</v>
      </c>
      <c r="B402" s="5">
        <v>20135</v>
      </c>
      <c r="C402" s="5" t="s">
        <v>9</v>
      </c>
      <c r="D402" s="5">
        <v>781</v>
      </c>
      <c r="E402" s="5">
        <v>3</v>
      </c>
      <c r="F402" s="5">
        <v>5</v>
      </c>
      <c r="G402" s="14">
        <v>30735</v>
      </c>
      <c r="H402" s="5">
        <v>580050</v>
      </c>
      <c r="I402" s="5" t="s">
        <v>10</v>
      </c>
    </row>
    <row r="403" spans="1:9" x14ac:dyDescent="0.4">
      <c r="A403" s="14">
        <v>43957</v>
      </c>
      <c r="B403" s="5">
        <v>47134</v>
      </c>
      <c r="C403" s="5" t="s">
        <v>28</v>
      </c>
      <c r="D403" s="5">
        <v>713</v>
      </c>
      <c r="E403" s="5">
        <v>4</v>
      </c>
      <c r="F403" s="5">
        <v>3</v>
      </c>
      <c r="G403" s="14">
        <v>31712</v>
      </c>
      <c r="H403" s="5">
        <v>849908</v>
      </c>
      <c r="I403" s="5" t="s">
        <v>17</v>
      </c>
    </row>
    <row r="404" spans="1:9" x14ac:dyDescent="0.4">
      <c r="A404" s="14">
        <v>43963</v>
      </c>
      <c r="B404" s="5">
        <v>90432</v>
      </c>
      <c r="C404" s="5" t="s">
        <v>16</v>
      </c>
      <c r="D404" s="5">
        <v>769</v>
      </c>
      <c r="E404" s="5">
        <v>2</v>
      </c>
      <c r="F404" s="5">
        <v>6</v>
      </c>
      <c r="G404" s="14">
        <v>33246</v>
      </c>
      <c r="H404" s="5">
        <v>623851</v>
      </c>
      <c r="I404" s="5" t="s">
        <v>17</v>
      </c>
    </row>
    <row r="405" spans="1:9" x14ac:dyDescent="0.4">
      <c r="A405" s="14">
        <v>44099</v>
      </c>
      <c r="B405" s="5">
        <v>55903</v>
      </c>
      <c r="C405" s="5" t="s">
        <v>15</v>
      </c>
      <c r="D405" s="5">
        <v>786</v>
      </c>
      <c r="E405" s="5">
        <v>5</v>
      </c>
      <c r="F405" s="5">
        <v>10</v>
      </c>
      <c r="G405" s="14">
        <v>33874</v>
      </c>
      <c r="H405" s="5">
        <v>546819</v>
      </c>
      <c r="I405" s="5" t="s">
        <v>14</v>
      </c>
    </row>
    <row r="406" spans="1:9" x14ac:dyDescent="0.4">
      <c r="A406" s="14">
        <v>44045</v>
      </c>
      <c r="B406" s="5">
        <v>50413</v>
      </c>
      <c r="C406" s="5" t="s">
        <v>20</v>
      </c>
      <c r="D406" s="5">
        <v>716</v>
      </c>
      <c r="E406" s="5">
        <v>4</v>
      </c>
      <c r="F406" s="5">
        <v>4</v>
      </c>
      <c r="G406" s="14">
        <v>31584</v>
      </c>
      <c r="H406" s="5">
        <v>776448</v>
      </c>
      <c r="I406" s="5" t="s">
        <v>17</v>
      </c>
    </row>
    <row r="407" spans="1:9" x14ac:dyDescent="0.4">
      <c r="A407" s="14">
        <v>43910</v>
      </c>
      <c r="B407" s="5">
        <v>56610</v>
      </c>
      <c r="C407" s="5" t="s">
        <v>26</v>
      </c>
      <c r="D407" s="5">
        <v>777</v>
      </c>
      <c r="E407" s="5">
        <v>4</v>
      </c>
      <c r="F407" s="5">
        <v>9</v>
      </c>
      <c r="G407" s="14">
        <v>33028</v>
      </c>
      <c r="H407" s="5">
        <v>947933</v>
      </c>
      <c r="I407" s="5" t="s">
        <v>10</v>
      </c>
    </row>
    <row r="408" spans="1:9" x14ac:dyDescent="0.4">
      <c r="A408" s="14">
        <v>44155</v>
      </c>
      <c r="B408" s="5">
        <v>30871</v>
      </c>
      <c r="C408" s="5" t="s">
        <v>15</v>
      </c>
      <c r="D408" s="5">
        <v>739</v>
      </c>
      <c r="E408" s="5">
        <v>2</v>
      </c>
      <c r="F408" s="5">
        <v>5</v>
      </c>
      <c r="G408" s="14">
        <v>30341</v>
      </c>
      <c r="H408" s="5">
        <v>809212</v>
      </c>
      <c r="I408" s="5" t="s">
        <v>10</v>
      </c>
    </row>
    <row r="409" spans="1:9" x14ac:dyDescent="0.4">
      <c r="A409" s="14">
        <v>43922</v>
      </c>
      <c r="B409" s="5">
        <v>79807</v>
      </c>
      <c r="C409" s="5" t="s">
        <v>28</v>
      </c>
      <c r="D409" s="5">
        <v>730</v>
      </c>
      <c r="E409" s="5">
        <v>3</v>
      </c>
      <c r="F409" s="5">
        <v>3</v>
      </c>
      <c r="G409" s="14">
        <v>34684</v>
      </c>
      <c r="H409" s="5">
        <v>933509</v>
      </c>
      <c r="I409" s="5" t="s">
        <v>14</v>
      </c>
    </row>
    <row r="410" spans="1:9" x14ac:dyDescent="0.4">
      <c r="A410" s="14">
        <v>44004</v>
      </c>
      <c r="B410" s="5">
        <v>42630</v>
      </c>
      <c r="C410" s="5" t="s">
        <v>25</v>
      </c>
      <c r="D410" s="5">
        <v>733</v>
      </c>
      <c r="E410" s="5">
        <v>1</v>
      </c>
      <c r="F410" s="5">
        <v>1</v>
      </c>
      <c r="G410" s="14">
        <v>32063</v>
      </c>
      <c r="H410" s="5">
        <v>825057</v>
      </c>
      <c r="I410" s="5" t="s">
        <v>17</v>
      </c>
    </row>
    <row r="411" spans="1:9" x14ac:dyDescent="0.4">
      <c r="A411" s="14">
        <v>44168</v>
      </c>
      <c r="B411" s="5">
        <v>22737</v>
      </c>
      <c r="C411" s="5" t="s">
        <v>12</v>
      </c>
      <c r="D411" s="5">
        <v>754</v>
      </c>
      <c r="E411" s="5">
        <v>1</v>
      </c>
      <c r="F411" s="5">
        <v>9</v>
      </c>
      <c r="G411" s="14">
        <v>31429</v>
      </c>
      <c r="H411" s="5">
        <v>842137</v>
      </c>
      <c r="I411" s="5" t="s">
        <v>14</v>
      </c>
    </row>
    <row r="412" spans="1:9" x14ac:dyDescent="0.4">
      <c r="A412" s="14">
        <v>44101</v>
      </c>
      <c r="B412" s="5">
        <v>75329</v>
      </c>
      <c r="C412" s="5" t="s">
        <v>33</v>
      </c>
      <c r="D412" s="5">
        <v>718</v>
      </c>
      <c r="E412" s="5">
        <v>4</v>
      </c>
      <c r="F412" s="5">
        <v>6</v>
      </c>
      <c r="G412" s="14">
        <v>32097</v>
      </c>
      <c r="H412" s="5">
        <v>742707</v>
      </c>
      <c r="I412" s="5" t="s">
        <v>14</v>
      </c>
    </row>
    <row r="413" spans="1:9" x14ac:dyDescent="0.4">
      <c r="A413" s="14">
        <v>44067</v>
      </c>
      <c r="B413" s="5">
        <v>57770</v>
      </c>
      <c r="C413" s="5" t="s">
        <v>23</v>
      </c>
      <c r="D413" s="5">
        <v>785</v>
      </c>
      <c r="E413" s="5">
        <v>3</v>
      </c>
      <c r="F413" s="5">
        <v>4</v>
      </c>
      <c r="G413" s="14">
        <v>33376</v>
      </c>
      <c r="H413" s="5">
        <v>958957</v>
      </c>
      <c r="I413" s="5" t="s">
        <v>14</v>
      </c>
    </row>
    <row r="414" spans="1:9" x14ac:dyDescent="0.4">
      <c r="A414" s="14">
        <v>44163</v>
      </c>
      <c r="B414" s="5">
        <v>13345</v>
      </c>
      <c r="C414" s="5" t="s">
        <v>11</v>
      </c>
      <c r="D414" s="5">
        <v>717</v>
      </c>
      <c r="E414" s="5">
        <v>1</v>
      </c>
      <c r="F414" s="5">
        <v>1</v>
      </c>
      <c r="G414" s="14">
        <v>31400</v>
      </c>
      <c r="H414" s="5">
        <v>823067</v>
      </c>
      <c r="I414" s="5" t="s">
        <v>10</v>
      </c>
    </row>
    <row r="415" spans="1:9" x14ac:dyDescent="0.4">
      <c r="A415" s="14">
        <v>44076</v>
      </c>
      <c r="B415" s="5">
        <v>17962</v>
      </c>
      <c r="C415" s="5" t="s">
        <v>32</v>
      </c>
      <c r="D415" s="5">
        <v>742</v>
      </c>
      <c r="E415" s="5">
        <v>2</v>
      </c>
      <c r="F415" s="5">
        <v>2</v>
      </c>
      <c r="G415" s="14">
        <v>32213</v>
      </c>
      <c r="H415" s="5">
        <v>888310</v>
      </c>
      <c r="I415" s="5" t="s">
        <v>14</v>
      </c>
    </row>
    <row r="416" spans="1:9" x14ac:dyDescent="0.4">
      <c r="A416" s="14">
        <v>44008</v>
      </c>
      <c r="B416" s="5">
        <v>62019</v>
      </c>
      <c r="C416" s="5" t="s">
        <v>35</v>
      </c>
      <c r="D416" s="5">
        <v>773</v>
      </c>
      <c r="E416" s="5">
        <v>2</v>
      </c>
      <c r="F416" s="5">
        <v>1</v>
      </c>
      <c r="G416" s="14">
        <v>32938</v>
      </c>
      <c r="H416" s="5">
        <v>573482</v>
      </c>
      <c r="I416" s="5" t="s">
        <v>17</v>
      </c>
    </row>
    <row r="417" spans="1:9" x14ac:dyDescent="0.4">
      <c r="A417" s="14">
        <v>43996</v>
      </c>
      <c r="B417" s="5">
        <v>63431</v>
      </c>
      <c r="C417" s="5" t="s">
        <v>30</v>
      </c>
      <c r="D417" s="5">
        <v>794</v>
      </c>
      <c r="E417" s="5">
        <v>1</v>
      </c>
      <c r="F417" s="5">
        <v>1</v>
      </c>
      <c r="G417" s="14">
        <v>32576</v>
      </c>
      <c r="H417" s="5">
        <v>868482</v>
      </c>
      <c r="I417" s="5" t="s">
        <v>17</v>
      </c>
    </row>
    <row r="418" spans="1:9" x14ac:dyDescent="0.4">
      <c r="A418" s="14">
        <v>43848</v>
      </c>
      <c r="B418" s="5">
        <v>87231</v>
      </c>
      <c r="C418" s="5" t="s">
        <v>15</v>
      </c>
      <c r="D418" s="5">
        <v>733</v>
      </c>
      <c r="E418" s="5">
        <v>3</v>
      </c>
      <c r="F418" s="5">
        <v>1</v>
      </c>
      <c r="G418" s="14">
        <v>32556</v>
      </c>
      <c r="H418" s="5">
        <v>977858</v>
      </c>
      <c r="I418" s="5" t="s">
        <v>17</v>
      </c>
    </row>
    <row r="419" spans="1:9" x14ac:dyDescent="0.4">
      <c r="A419" s="14">
        <v>43912</v>
      </c>
      <c r="B419" s="5">
        <v>20237</v>
      </c>
      <c r="C419" s="5" t="s">
        <v>16</v>
      </c>
      <c r="D419" s="5">
        <v>709</v>
      </c>
      <c r="E419" s="5">
        <v>3</v>
      </c>
      <c r="F419" s="5">
        <v>6</v>
      </c>
      <c r="G419" s="14">
        <v>34119</v>
      </c>
      <c r="H419" s="5">
        <v>830519</v>
      </c>
      <c r="I419" s="5" t="s">
        <v>17</v>
      </c>
    </row>
    <row r="420" spans="1:9" x14ac:dyDescent="0.4">
      <c r="A420" s="14">
        <v>43899</v>
      </c>
      <c r="B420" s="5">
        <v>27286</v>
      </c>
      <c r="C420" s="5" t="s">
        <v>15</v>
      </c>
      <c r="D420" s="5">
        <v>738</v>
      </c>
      <c r="E420" s="5">
        <v>1</v>
      </c>
      <c r="F420" s="5">
        <v>10</v>
      </c>
      <c r="G420" s="14">
        <v>33190</v>
      </c>
      <c r="H420" s="5">
        <v>621502</v>
      </c>
      <c r="I420" s="5" t="s">
        <v>14</v>
      </c>
    </row>
    <row r="421" spans="1:9" x14ac:dyDescent="0.4">
      <c r="A421" s="14">
        <v>43833</v>
      </c>
      <c r="B421" s="5">
        <v>47440</v>
      </c>
      <c r="C421" s="5" t="s">
        <v>34</v>
      </c>
      <c r="D421" s="5">
        <v>759</v>
      </c>
      <c r="E421" s="5">
        <v>3</v>
      </c>
      <c r="F421" s="5">
        <v>2</v>
      </c>
      <c r="G421" s="14">
        <v>30605</v>
      </c>
      <c r="H421" s="5">
        <v>899239</v>
      </c>
      <c r="I421" s="5" t="s">
        <v>17</v>
      </c>
    </row>
    <row r="422" spans="1:9" x14ac:dyDescent="0.4">
      <c r="A422" s="14">
        <v>43893</v>
      </c>
      <c r="B422" s="5">
        <v>47835</v>
      </c>
      <c r="C422" s="5" t="s">
        <v>16</v>
      </c>
      <c r="D422" s="5">
        <v>731</v>
      </c>
      <c r="E422" s="5">
        <v>4</v>
      </c>
      <c r="F422" s="5">
        <v>1</v>
      </c>
      <c r="G422" s="14">
        <v>29318</v>
      </c>
      <c r="H422" s="5">
        <v>672073</v>
      </c>
      <c r="I422" s="5" t="s">
        <v>14</v>
      </c>
    </row>
    <row r="423" spans="1:9" x14ac:dyDescent="0.4">
      <c r="A423" s="14">
        <v>44081</v>
      </c>
      <c r="B423" s="5">
        <v>23501</v>
      </c>
      <c r="C423" s="5" t="s">
        <v>30</v>
      </c>
      <c r="D423" s="5">
        <v>704</v>
      </c>
      <c r="E423" s="5">
        <v>2</v>
      </c>
      <c r="F423" s="5">
        <v>9</v>
      </c>
      <c r="G423" s="14">
        <v>33013</v>
      </c>
      <c r="H423" s="5">
        <v>783595</v>
      </c>
      <c r="I423" s="5" t="s">
        <v>10</v>
      </c>
    </row>
    <row r="424" spans="1:9" x14ac:dyDescent="0.4">
      <c r="A424" s="14">
        <v>44160</v>
      </c>
      <c r="B424" s="5">
        <v>74406</v>
      </c>
      <c r="C424" s="5" t="s">
        <v>35</v>
      </c>
      <c r="D424" s="5">
        <v>791</v>
      </c>
      <c r="E424" s="5">
        <v>2</v>
      </c>
      <c r="F424" s="5">
        <v>9</v>
      </c>
      <c r="G424" s="14">
        <v>30661</v>
      </c>
      <c r="H424" s="5">
        <v>696234</v>
      </c>
      <c r="I424" s="5" t="s">
        <v>17</v>
      </c>
    </row>
    <row r="425" spans="1:9" x14ac:dyDescent="0.4">
      <c r="A425" s="14">
        <v>44062</v>
      </c>
      <c r="B425" s="5">
        <v>32850</v>
      </c>
      <c r="C425" s="5" t="s">
        <v>12</v>
      </c>
      <c r="D425" s="5">
        <v>775</v>
      </c>
      <c r="E425" s="5">
        <v>4</v>
      </c>
      <c r="F425" s="5">
        <v>7</v>
      </c>
      <c r="G425" s="14">
        <v>29675</v>
      </c>
      <c r="H425" s="5">
        <v>593559</v>
      </c>
      <c r="I425" s="5" t="s">
        <v>17</v>
      </c>
    </row>
    <row r="426" spans="1:9" x14ac:dyDescent="0.4">
      <c r="A426" s="14">
        <v>43999</v>
      </c>
      <c r="B426" s="5">
        <v>81614</v>
      </c>
      <c r="C426" s="5" t="s">
        <v>32</v>
      </c>
      <c r="D426" s="5">
        <v>772</v>
      </c>
      <c r="E426" s="5">
        <v>1</v>
      </c>
      <c r="F426" s="5">
        <v>5</v>
      </c>
      <c r="G426" s="14">
        <v>30018</v>
      </c>
      <c r="H426" s="5">
        <v>908278</v>
      </c>
      <c r="I426" s="5" t="s">
        <v>14</v>
      </c>
    </row>
    <row r="427" spans="1:9" x14ac:dyDescent="0.4">
      <c r="A427" s="14">
        <v>43907</v>
      </c>
      <c r="B427" s="5">
        <v>87248</v>
      </c>
      <c r="C427" s="5" t="s">
        <v>19</v>
      </c>
      <c r="D427" s="5">
        <v>766</v>
      </c>
      <c r="E427" s="5">
        <v>4</v>
      </c>
      <c r="F427" s="5">
        <v>1</v>
      </c>
      <c r="G427" s="14">
        <v>33326</v>
      </c>
      <c r="H427" s="5">
        <v>907757</v>
      </c>
      <c r="I427" s="5" t="s">
        <v>17</v>
      </c>
    </row>
    <row r="428" spans="1:9" x14ac:dyDescent="0.4">
      <c r="A428" s="14">
        <v>44123</v>
      </c>
      <c r="B428" s="5">
        <v>99123</v>
      </c>
      <c r="C428" s="5" t="s">
        <v>25</v>
      </c>
      <c r="D428" s="5">
        <v>756</v>
      </c>
      <c r="E428" s="5">
        <v>1</v>
      </c>
      <c r="F428" s="5">
        <v>4</v>
      </c>
      <c r="G428" s="14">
        <v>30133</v>
      </c>
      <c r="H428" s="5">
        <v>681492</v>
      </c>
      <c r="I428" s="5" t="s">
        <v>14</v>
      </c>
    </row>
    <row r="429" spans="1:9" x14ac:dyDescent="0.4">
      <c r="A429" s="14">
        <v>43992</v>
      </c>
      <c r="B429" s="5">
        <v>26238</v>
      </c>
      <c r="C429" s="5" t="s">
        <v>16</v>
      </c>
      <c r="D429" s="5">
        <v>718</v>
      </c>
      <c r="E429" s="5">
        <v>2</v>
      </c>
      <c r="F429" s="5">
        <v>2</v>
      </c>
      <c r="G429" s="14">
        <v>33470</v>
      </c>
      <c r="H429" s="5">
        <v>614109</v>
      </c>
      <c r="I429" s="5" t="s">
        <v>10</v>
      </c>
    </row>
    <row r="430" spans="1:9" x14ac:dyDescent="0.4">
      <c r="A430" s="14">
        <v>43876</v>
      </c>
      <c r="B430" s="5">
        <v>84986</v>
      </c>
      <c r="C430" s="5" t="s">
        <v>31</v>
      </c>
      <c r="D430" s="5">
        <v>723</v>
      </c>
      <c r="E430" s="5">
        <v>2</v>
      </c>
      <c r="F430" s="5">
        <v>4</v>
      </c>
      <c r="G430" s="14">
        <v>34527</v>
      </c>
      <c r="H430" s="5">
        <v>909370</v>
      </c>
      <c r="I430" s="5" t="s">
        <v>10</v>
      </c>
    </row>
    <row r="431" spans="1:9" x14ac:dyDescent="0.4">
      <c r="A431" s="14">
        <v>44133</v>
      </c>
      <c r="B431" s="5">
        <v>90759</v>
      </c>
      <c r="C431" s="5" t="s">
        <v>35</v>
      </c>
      <c r="D431" s="5">
        <v>710</v>
      </c>
      <c r="E431" s="5">
        <v>5</v>
      </c>
      <c r="F431" s="5">
        <v>4</v>
      </c>
      <c r="G431" s="14">
        <v>31523</v>
      </c>
      <c r="H431" s="5">
        <v>669471</v>
      </c>
      <c r="I431" s="5" t="s">
        <v>10</v>
      </c>
    </row>
    <row r="432" spans="1:9" x14ac:dyDescent="0.4">
      <c r="A432" s="14">
        <v>44108</v>
      </c>
      <c r="B432" s="5">
        <v>57440</v>
      </c>
      <c r="C432" s="5" t="s">
        <v>31</v>
      </c>
      <c r="D432" s="5">
        <v>743</v>
      </c>
      <c r="E432" s="5">
        <v>2</v>
      </c>
      <c r="F432" s="5">
        <v>3</v>
      </c>
      <c r="G432" s="14">
        <v>31923</v>
      </c>
      <c r="H432" s="5">
        <v>758121</v>
      </c>
      <c r="I432" s="5" t="s">
        <v>14</v>
      </c>
    </row>
    <row r="433" spans="1:9" x14ac:dyDescent="0.4">
      <c r="A433" s="14">
        <v>44033</v>
      </c>
      <c r="B433" s="5">
        <v>50601</v>
      </c>
      <c r="C433" s="5" t="s">
        <v>15</v>
      </c>
      <c r="D433" s="5">
        <v>760</v>
      </c>
      <c r="E433" s="5">
        <v>5</v>
      </c>
      <c r="F433" s="5">
        <v>4</v>
      </c>
      <c r="G433" s="14">
        <v>32144</v>
      </c>
      <c r="H433" s="5">
        <v>601051</v>
      </c>
      <c r="I433" s="5" t="s">
        <v>10</v>
      </c>
    </row>
    <row r="434" spans="1:9" x14ac:dyDescent="0.4">
      <c r="A434" s="14">
        <v>43956</v>
      </c>
      <c r="B434" s="5">
        <v>99068</v>
      </c>
      <c r="C434" s="5" t="s">
        <v>27</v>
      </c>
      <c r="D434" s="5">
        <v>776</v>
      </c>
      <c r="E434" s="5">
        <v>5</v>
      </c>
      <c r="F434" s="5">
        <v>2</v>
      </c>
      <c r="G434" s="14">
        <v>30588</v>
      </c>
      <c r="H434" s="5">
        <v>716266</v>
      </c>
      <c r="I434" s="5" t="s">
        <v>17</v>
      </c>
    </row>
    <row r="435" spans="1:9" x14ac:dyDescent="0.4">
      <c r="A435" s="14">
        <v>43958</v>
      </c>
      <c r="B435" s="5">
        <v>35458</v>
      </c>
      <c r="C435" s="5" t="s">
        <v>29</v>
      </c>
      <c r="D435" s="5">
        <v>752</v>
      </c>
      <c r="E435" s="5">
        <v>4</v>
      </c>
      <c r="F435" s="5">
        <v>4</v>
      </c>
      <c r="G435" s="14">
        <v>33451</v>
      </c>
      <c r="H435" s="5">
        <v>957388</v>
      </c>
      <c r="I435" s="5" t="s">
        <v>14</v>
      </c>
    </row>
    <row r="436" spans="1:9" x14ac:dyDescent="0.4">
      <c r="A436" s="14">
        <v>43938</v>
      </c>
      <c r="B436" s="5">
        <v>95836</v>
      </c>
      <c r="C436" s="5" t="s">
        <v>18</v>
      </c>
      <c r="D436" s="5">
        <v>776</v>
      </c>
      <c r="E436" s="5">
        <v>4</v>
      </c>
      <c r="F436" s="5">
        <v>6</v>
      </c>
      <c r="G436" s="14">
        <v>34229</v>
      </c>
      <c r="H436" s="5">
        <v>514244</v>
      </c>
      <c r="I436" s="5" t="s">
        <v>10</v>
      </c>
    </row>
    <row r="437" spans="1:9" x14ac:dyDescent="0.4">
      <c r="A437" s="14">
        <v>44053</v>
      </c>
      <c r="B437" s="5">
        <v>58497</v>
      </c>
      <c r="C437" s="5" t="s">
        <v>9</v>
      </c>
      <c r="D437" s="5">
        <v>788</v>
      </c>
      <c r="E437" s="5">
        <v>2</v>
      </c>
      <c r="F437" s="5">
        <v>4</v>
      </c>
      <c r="G437" s="14">
        <v>32579</v>
      </c>
      <c r="H437" s="5">
        <v>540095</v>
      </c>
      <c r="I437" s="5" t="s">
        <v>17</v>
      </c>
    </row>
    <row r="438" spans="1:9" x14ac:dyDescent="0.4">
      <c r="A438" s="14">
        <v>43861</v>
      </c>
      <c r="B438" s="5">
        <v>40845</v>
      </c>
      <c r="C438" s="5" t="s">
        <v>16</v>
      </c>
      <c r="D438" s="5">
        <v>743</v>
      </c>
      <c r="E438" s="5">
        <v>5</v>
      </c>
      <c r="F438" s="5">
        <v>4</v>
      </c>
      <c r="G438" s="14">
        <v>32013</v>
      </c>
      <c r="H438" s="5">
        <v>522518</v>
      </c>
      <c r="I438" s="5" t="s">
        <v>10</v>
      </c>
    </row>
    <row r="439" spans="1:9" x14ac:dyDescent="0.4">
      <c r="A439" s="14">
        <v>44131</v>
      </c>
      <c r="B439" s="5">
        <v>21565</v>
      </c>
      <c r="C439" s="5" t="s">
        <v>35</v>
      </c>
      <c r="D439" s="5">
        <v>751</v>
      </c>
      <c r="E439" s="5">
        <v>3</v>
      </c>
      <c r="F439" s="5">
        <v>1</v>
      </c>
      <c r="G439" s="14">
        <v>31999</v>
      </c>
      <c r="H439" s="5">
        <v>700173</v>
      </c>
      <c r="I439" s="5" t="s">
        <v>10</v>
      </c>
    </row>
    <row r="440" spans="1:9" x14ac:dyDescent="0.4">
      <c r="A440" s="14">
        <v>43970</v>
      </c>
      <c r="B440" s="5">
        <v>76798</v>
      </c>
      <c r="C440" s="5" t="s">
        <v>19</v>
      </c>
      <c r="D440" s="5">
        <v>761</v>
      </c>
      <c r="E440" s="5">
        <v>1</v>
      </c>
      <c r="F440" s="5">
        <v>7</v>
      </c>
      <c r="G440" s="14">
        <v>33743</v>
      </c>
      <c r="H440" s="5">
        <v>857894</v>
      </c>
      <c r="I440" s="5" t="s">
        <v>17</v>
      </c>
    </row>
    <row r="441" spans="1:9" x14ac:dyDescent="0.4">
      <c r="A441" s="14">
        <v>43835</v>
      </c>
      <c r="B441" s="5">
        <v>60752</v>
      </c>
      <c r="C441" s="5" t="s">
        <v>19</v>
      </c>
      <c r="D441" s="5">
        <v>726</v>
      </c>
      <c r="E441" s="5">
        <v>4</v>
      </c>
      <c r="F441" s="5">
        <v>9</v>
      </c>
      <c r="G441" s="14">
        <v>31493</v>
      </c>
      <c r="H441" s="5">
        <v>720127</v>
      </c>
      <c r="I441" s="5" t="s">
        <v>17</v>
      </c>
    </row>
    <row r="442" spans="1:9" x14ac:dyDescent="0.4">
      <c r="A442" s="14">
        <v>44012</v>
      </c>
      <c r="B442" s="5">
        <v>97302</v>
      </c>
      <c r="C442" s="5" t="s">
        <v>32</v>
      </c>
      <c r="D442" s="5">
        <v>700</v>
      </c>
      <c r="E442" s="5">
        <v>2</v>
      </c>
      <c r="F442" s="5">
        <v>7</v>
      </c>
      <c r="G442" s="14">
        <v>31868</v>
      </c>
      <c r="H442" s="5">
        <v>944807</v>
      </c>
      <c r="I442" s="5" t="s">
        <v>17</v>
      </c>
    </row>
    <row r="443" spans="1:9" x14ac:dyDescent="0.4">
      <c r="A443" s="14">
        <v>43932</v>
      </c>
      <c r="B443" s="5">
        <v>71364</v>
      </c>
      <c r="C443" s="5" t="s">
        <v>13</v>
      </c>
      <c r="D443" s="5">
        <v>788</v>
      </c>
      <c r="E443" s="5">
        <v>4</v>
      </c>
      <c r="F443" s="5">
        <v>2</v>
      </c>
      <c r="G443" s="14">
        <v>32646</v>
      </c>
      <c r="H443" s="5">
        <v>909616</v>
      </c>
      <c r="I443" s="5" t="s">
        <v>17</v>
      </c>
    </row>
    <row r="444" spans="1:9" x14ac:dyDescent="0.4">
      <c r="A444" s="14">
        <v>44045</v>
      </c>
      <c r="B444" s="5">
        <v>38430</v>
      </c>
      <c r="C444" s="5" t="s">
        <v>26</v>
      </c>
      <c r="D444" s="5">
        <v>762</v>
      </c>
      <c r="E444" s="5">
        <v>2</v>
      </c>
      <c r="F444" s="5">
        <v>3</v>
      </c>
      <c r="G444" s="14">
        <v>29977</v>
      </c>
      <c r="H444" s="5">
        <v>617739</v>
      </c>
      <c r="I444" s="5" t="s">
        <v>14</v>
      </c>
    </row>
    <row r="445" spans="1:9" x14ac:dyDescent="0.4">
      <c r="A445" s="14">
        <v>43888</v>
      </c>
      <c r="B445" s="5">
        <v>47361</v>
      </c>
      <c r="C445" s="5" t="s">
        <v>35</v>
      </c>
      <c r="D445" s="5">
        <v>733</v>
      </c>
      <c r="E445" s="5">
        <v>3</v>
      </c>
      <c r="F445" s="5">
        <v>5</v>
      </c>
      <c r="G445" s="14">
        <v>34635</v>
      </c>
      <c r="H445" s="5">
        <v>644002</v>
      </c>
      <c r="I445" s="5" t="s">
        <v>10</v>
      </c>
    </row>
    <row r="446" spans="1:9" x14ac:dyDescent="0.4">
      <c r="A446" s="14">
        <v>43897</v>
      </c>
      <c r="B446" s="5">
        <v>24514</v>
      </c>
      <c r="C446" s="5" t="s">
        <v>32</v>
      </c>
      <c r="D446" s="5">
        <v>797</v>
      </c>
      <c r="E446" s="5">
        <v>5</v>
      </c>
      <c r="F446" s="5">
        <v>5</v>
      </c>
      <c r="G446" s="14">
        <v>32844</v>
      </c>
      <c r="H446" s="5">
        <v>865221</v>
      </c>
      <c r="I446" s="5" t="s">
        <v>17</v>
      </c>
    </row>
    <row r="447" spans="1:9" x14ac:dyDescent="0.4">
      <c r="A447" s="14">
        <v>43848</v>
      </c>
      <c r="B447" s="5">
        <v>58181</v>
      </c>
      <c r="C447" s="5" t="s">
        <v>15</v>
      </c>
      <c r="D447" s="5">
        <v>775</v>
      </c>
      <c r="E447" s="5">
        <v>1</v>
      </c>
      <c r="F447" s="5">
        <v>7</v>
      </c>
      <c r="G447" s="14">
        <v>31357</v>
      </c>
      <c r="H447" s="5">
        <v>517907</v>
      </c>
      <c r="I447" s="5" t="s">
        <v>14</v>
      </c>
    </row>
    <row r="448" spans="1:9" x14ac:dyDescent="0.4">
      <c r="A448" s="14">
        <v>43975</v>
      </c>
      <c r="B448" s="5">
        <v>73371</v>
      </c>
      <c r="C448" s="5" t="s">
        <v>11</v>
      </c>
      <c r="D448" s="5">
        <v>722</v>
      </c>
      <c r="E448" s="5">
        <v>2</v>
      </c>
      <c r="F448" s="5">
        <v>8</v>
      </c>
      <c r="G448" s="14">
        <v>32274</v>
      </c>
      <c r="H448" s="5">
        <v>967821</v>
      </c>
      <c r="I448" s="5" t="s">
        <v>10</v>
      </c>
    </row>
    <row r="449" spans="1:9" x14ac:dyDescent="0.4">
      <c r="A449" s="14">
        <v>44151</v>
      </c>
      <c r="B449" s="5">
        <v>85129</v>
      </c>
      <c r="C449" s="5" t="s">
        <v>12</v>
      </c>
      <c r="D449" s="5">
        <v>725</v>
      </c>
      <c r="E449" s="5">
        <v>5</v>
      </c>
      <c r="F449" s="5">
        <v>1</v>
      </c>
      <c r="G449" s="14">
        <v>32386</v>
      </c>
      <c r="H449" s="5">
        <v>865586</v>
      </c>
      <c r="I449" s="5" t="s">
        <v>17</v>
      </c>
    </row>
    <row r="450" spans="1:9" x14ac:dyDescent="0.4">
      <c r="A450" s="14">
        <v>43902</v>
      </c>
      <c r="B450" s="5">
        <v>81228</v>
      </c>
      <c r="C450" s="5" t="s">
        <v>18</v>
      </c>
      <c r="D450" s="5">
        <v>770</v>
      </c>
      <c r="E450" s="5">
        <v>3</v>
      </c>
      <c r="F450" s="5">
        <v>6</v>
      </c>
      <c r="G450" s="14">
        <v>30800</v>
      </c>
      <c r="H450" s="5">
        <v>943462</v>
      </c>
      <c r="I450" s="5" t="s">
        <v>17</v>
      </c>
    </row>
    <row r="451" spans="1:9" x14ac:dyDescent="0.4">
      <c r="A451" s="14">
        <v>43993</v>
      </c>
      <c r="B451" s="5">
        <v>93750</v>
      </c>
      <c r="C451" s="5" t="s">
        <v>11</v>
      </c>
      <c r="D451" s="5">
        <v>799</v>
      </c>
      <c r="E451" s="5">
        <v>3</v>
      </c>
      <c r="F451" s="5">
        <v>10</v>
      </c>
      <c r="G451" s="14">
        <v>31914</v>
      </c>
      <c r="H451" s="5">
        <v>834366</v>
      </c>
      <c r="I451" s="5" t="s">
        <v>10</v>
      </c>
    </row>
    <row r="452" spans="1:9" x14ac:dyDescent="0.4">
      <c r="A452" s="14">
        <v>43981</v>
      </c>
      <c r="B452" s="5">
        <v>57092</v>
      </c>
      <c r="C452" s="5" t="s">
        <v>22</v>
      </c>
      <c r="D452" s="5">
        <v>705</v>
      </c>
      <c r="E452" s="5">
        <v>1</v>
      </c>
      <c r="F452" s="5">
        <v>1</v>
      </c>
      <c r="G452" s="14">
        <v>31320</v>
      </c>
      <c r="H452" s="5">
        <v>920468</v>
      </c>
      <c r="I452" s="5" t="s">
        <v>17</v>
      </c>
    </row>
    <row r="453" spans="1:9" x14ac:dyDescent="0.4">
      <c r="A453" s="14">
        <v>44157</v>
      </c>
      <c r="B453" s="5">
        <v>54866</v>
      </c>
      <c r="C453" s="5" t="s">
        <v>30</v>
      </c>
      <c r="D453" s="5">
        <v>719</v>
      </c>
      <c r="E453" s="5">
        <v>2</v>
      </c>
      <c r="F453" s="5">
        <v>7</v>
      </c>
      <c r="G453" s="14">
        <v>30551</v>
      </c>
      <c r="H453" s="5">
        <v>928910</v>
      </c>
      <c r="I453" s="5" t="s">
        <v>10</v>
      </c>
    </row>
    <row r="454" spans="1:9" x14ac:dyDescent="0.4">
      <c r="A454" s="14">
        <v>43857</v>
      </c>
      <c r="B454" s="5">
        <v>96247</v>
      </c>
      <c r="C454" s="5" t="s">
        <v>34</v>
      </c>
      <c r="D454" s="5">
        <v>788</v>
      </c>
      <c r="E454" s="5">
        <v>5</v>
      </c>
      <c r="F454" s="5">
        <v>4</v>
      </c>
      <c r="G454" s="14">
        <v>29391</v>
      </c>
      <c r="H454" s="5">
        <v>831126</v>
      </c>
      <c r="I454" s="5" t="s">
        <v>10</v>
      </c>
    </row>
    <row r="455" spans="1:9" x14ac:dyDescent="0.4">
      <c r="A455" s="14">
        <v>43919</v>
      </c>
      <c r="B455" s="5">
        <v>86568</v>
      </c>
      <c r="C455" s="5" t="s">
        <v>11</v>
      </c>
      <c r="D455" s="5">
        <v>799</v>
      </c>
      <c r="E455" s="5">
        <v>1</v>
      </c>
      <c r="F455" s="5">
        <v>6</v>
      </c>
      <c r="G455" s="14">
        <v>32061</v>
      </c>
      <c r="H455" s="5">
        <v>954784</v>
      </c>
      <c r="I455" s="5" t="s">
        <v>14</v>
      </c>
    </row>
    <row r="456" spans="1:9" x14ac:dyDescent="0.4">
      <c r="A456" s="14">
        <v>44078</v>
      </c>
      <c r="B456" s="5">
        <v>65077</v>
      </c>
      <c r="C456" s="5" t="s">
        <v>32</v>
      </c>
      <c r="D456" s="5">
        <v>743</v>
      </c>
      <c r="E456" s="5">
        <v>1</v>
      </c>
      <c r="F456" s="5">
        <v>10</v>
      </c>
      <c r="G456" s="14">
        <v>29360</v>
      </c>
      <c r="H456" s="5">
        <v>943109</v>
      </c>
      <c r="I456" s="5" t="s">
        <v>14</v>
      </c>
    </row>
    <row r="457" spans="1:9" x14ac:dyDescent="0.4">
      <c r="A457" s="14">
        <v>43866</v>
      </c>
      <c r="B457" s="5">
        <v>78229</v>
      </c>
      <c r="C457" s="5" t="s">
        <v>19</v>
      </c>
      <c r="D457" s="5">
        <v>791</v>
      </c>
      <c r="E457" s="5">
        <v>1</v>
      </c>
      <c r="F457" s="5">
        <v>6</v>
      </c>
      <c r="G457" s="14">
        <v>31716</v>
      </c>
      <c r="H457" s="5">
        <v>507141</v>
      </c>
      <c r="I457" s="5" t="s">
        <v>10</v>
      </c>
    </row>
    <row r="458" spans="1:9" x14ac:dyDescent="0.4">
      <c r="A458" s="14">
        <v>43937</v>
      </c>
      <c r="B458" s="5">
        <v>95204</v>
      </c>
      <c r="C458" s="5" t="s">
        <v>23</v>
      </c>
      <c r="D458" s="5">
        <v>709</v>
      </c>
      <c r="E458" s="5">
        <v>5</v>
      </c>
      <c r="F458" s="5">
        <v>8</v>
      </c>
      <c r="G458" s="14">
        <v>33535</v>
      </c>
      <c r="H458" s="5">
        <v>949973</v>
      </c>
      <c r="I458" s="5" t="s">
        <v>17</v>
      </c>
    </row>
    <row r="459" spans="1:9" x14ac:dyDescent="0.4">
      <c r="A459" s="14">
        <v>44024</v>
      </c>
      <c r="B459" s="5">
        <v>53714</v>
      </c>
      <c r="C459" s="5" t="s">
        <v>19</v>
      </c>
      <c r="D459" s="5">
        <v>734</v>
      </c>
      <c r="E459" s="5">
        <v>3</v>
      </c>
      <c r="F459" s="5">
        <v>1</v>
      </c>
      <c r="G459" s="14">
        <v>34203</v>
      </c>
      <c r="H459" s="5">
        <v>774595</v>
      </c>
      <c r="I459" s="5" t="s">
        <v>14</v>
      </c>
    </row>
    <row r="460" spans="1:9" x14ac:dyDescent="0.4">
      <c r="A460" s="14">
        <v>43855</v>
      </c>
      <c r="B460" s="5">
        <v>32047</v>
      </c>
      <c r="C460" s="5" t="s">
        <v>29</v>
      </c>
      <c r="D460" s="5">
        <v>780</v>
      </c>
      <c r="E460" s="5">
        <v>2</v>
      </c>
      <c r="F460" s="5">
        <v>2</v>
      </c>
      <c r="G460" s="14">
        <v>33648</v>
      </c>
      <c r="H460" s="5">
        <v>888740</v>
      </c>
      <c r="I460" s="5" t="s">
        <v>14</v>
      </c>
    </row>
    <row r="461" spans="1:9" x14ac:dyDescent="0.4">
      <c r="A461" s="14">
        <v>43902</v>
      </c>
      <c r="B461" s="5">
        <v>98381</v>
      </c>
      <c r="C461" s="5" t="s">
        <v>31</v>
      </c>
      <c r="D461" s="5">
        <v>755</v>
      </c>
      <c r="E461" s="5">
        <v>3</v>
      </c>
      <c r="F461" s="5">
        <v>5</v>
      </c>
      <c r="G461" s="14">
        <v>34182</v>
      </c>
      <c r="H461" s="5">
        <v>973913</v>
      </c>
      <c r="I461" s="5" t="s">
        <v>17</v>
      </c>
    </row>
    <row r="462" spans="1:9" x14ac:dyDescent="0.4">
      <c r="A462" s="14">
        <v>43863</v>
      </c>
      <c r="B462" s="5">
        <v>88595</v>
      </c>
      <c r="C462" s="5" t="s">
        <v>22</v>
      </c>
      <c r="D462" s="5">
        <v>784</v>
      </c>
      <c r="E462" s="5">
        <v>1</v>
      </c>
      <c r="F462" s="5">
        <v>8</v>
      </c>
      <c r="G462" s="14">
        <v>34535</v>
      </c>
      <c r="H462" s="5">
        <v>965860</v>
      </c>
      <c r="I462" s="5" t="s">
        <v>14</v>
      </c>
    </row>
    <row r="463" spans="1:9" x14ac:dyDescent="0.4">
      <c r="A463" s="14">
        <v>43918</v>
      </c>
      <c r="B463" s="5">
        <v>45924</v>
      </c>
      <c r="C463" s="5" t="s">
        <v>24</v>
      </c>
      <c r="D463" s="5">
        <v>787</v>
      </c>
      <c r="E463" s="5">
        <v>4</v>
      </c>
      <c r="F463" s="5">
        <v>1</v>
      </c>
      <c r="G463" s="14">
        <v>31312</v>
      </c>
      <c r="H463" s="5">
        <v>928300</v>
      </c>
      <c r="I463" s="5" t="s">
        <v>14</v>
      </c>
    </row>
    <row r="464" spans="1:9" x14ac:dyDescent="0.4">
      <c r="A464" s="14">
        <v>44076</v>
      </c>
      <c r="B464" s="5">
        <v>93560</v>
      </c>
      <c r="C464" s="5" t="s">
        <v>21</v>
      </c>
      <c r="D464" s="5">
        <v>710</v>
      </c>
      <c r="E464" s="5">
        <v>2</v>
      </c>
      <c r="F464" s="5">
        <v>6</v>
      </c>
      <c r="G464" s="14">
        <v>32882</v>
      </c>
      <c r="H464" s="5">
        <v>658229</v>
      </c>
      <c r="I464" s="5" t="s">
        <v>14</v>
      </c>
    </row>
    <row r="465" spans="1:9" x14ac:dyDescent="0.4">
      <c r="A465" s="14">
        <v>44011</v>
      </c>
      <c r="B465" s="5">
        <v>55067</v>
      </c>
      <c r="C465" s="5" t="s">
        <v>19</v>
      </c>
      <c r="D465" s="5">
        <v>730</v>
      </c>
      <c r="E465" s="5">
        <v>3</v>
      </c>
      <c r="F465" s="5">
        <v>2</v>
      </c>
      <c r="G465" s="14">
        <v>33795</v>
      </c>
      <c r="H465" s="5">
        <v>560882</v>
      </c>
      <c r="I465" s="5" t="s">
        <v>14</v>
      </c>
    </row>
    <row r="466" spans="1:9" x14ac:dyDescent="0.4">
      <c r="A466" s="14">
        <v>44127</v>
      </c>
      <c r="B466" s="5">
        <v>31005</v>
      </c>
      <c r="C466" s="5" t="s">
        <v>26</v>
      </c>
      <c r="D466" s="5">
        <v>750</v>
      </c>
      <c r="E466" s="5">
        <v>3</v>
      </c>
      <c r="F466" s="5">
        <v>7</v>
      </c>
      <c r="G466" s="14">
        <v>33291</v>
      </c>
      <c r="H466" s="5">
        <v>781897</v>
      </c>
      <c r="I466" s="5" t="s">
        <v>14</v>
      </c>
    </row>
    <row r="467" spans="1:9" x14ac:dyDescent="0.4">
      <c r="A467" s="14">
        <v>43903</v>
      </c>
      <c r="B467" s="5">
        <v>88614</v>
      </c>
      <c r="C467" s="5" t="s">
        <v>30</v>
      </c>
      <c r="D467" s="5">
        <v>749</v>
      </c>
      <c r="E467" s="5">
        <v>1</v>
      </c>
      <c r="F467" s="5">
        <v>4</v>
      </c>
      <c r="G467" s="14">
        <v>29276</v>
      </c>
      <c r="H467" s="5">
        <v>769026</v>
      </c>
      <c r="I467" s="5" t="s">
        <v>10</v>
      </c>
    </row>
    <row r="468" spans="1:9" x14ac:dyDescent="0.4">
      <c r="A468" s="14">
        <v>43970</v>
      </c>
      <c r="B468" s="5">
        <v>61411</v>
      </c>
      <c r="C468" s="5" t="s">
        <v>31</v>
      </c>
      <c r="D468" s="5">
        <v>757</v>
      </c>
      <c r="E468" s="5">
        <v>4</v>
      </c>
      <c r="F468" s="5">
        <v>2</v>
      </c>
      <c r="G468" s="14">
        <v>30514</v>
      </c>
      <c r="H468" s="5">
        <v>505118</v>
      </c>
      <c r="I468" s="5" t="s">
        <v>14</v>
      </c>
    </row>
    <row r="469" spans="1:9" x14ac:dyDescent="0.4">
      <c r="A469" s="14">
        <v>44025</v>
      </c>
      <c r="B469" s="5">
        <v>13948</v>
      </c>
      <c r="C469" s="5" t="s">
        <v>34</v>
      </c>
      <c r="D469" s="5">
        <v>785</v>
      </c>
      <c r="E469" s="5">
        <v>2</v>
      </c>
      <c r="F469" s="5">
        <v>9</v>
      </c>
      <c r="G469" s="14">
        <v>34679</v>
      </c>
      <c r="H469" s="5">
        <v>623506</v>
      </c>
      <c r="I469" s="5" t="s">
        <v>14</v>
      </c>
    </row>
    <row r="470" spans="1:9" x14ac:dyDescent="0.4">
      <c r="A470" s="14">
        <v>43912</v>
      </c>
      <c r="B470" s="5">
        <v>11840</v>
      </c>
      <c r="C470" s="5" t="s">
        <v>32</v>
      </c>
      <c r="D470" s="5">
        <v>789</v>
      </c>
      <c r="E470" s="5">
        <v>2</v>
      </c>
      <c r="F470" s="5">
        <v>10</v>
      </c>
      <c r="G470" s="14">
        <v>33057</v>
      </c>
      <c r="H470" s="5">
        <v>684537</v>
      </c>
      <c r="I470" s="5" t="s">
        <v>10</v>
      </c>
    </row>
    <row r="471" spans="1:9" x14ac:dyDescent="0.4">
      <c r="A471" s="14">
        <v>44162</v>
      </c>
      <c r="B471" s="5">
        <v>76930</v>
      </c>
      <c r="C471" s="5" t="s">
        <v>18</v>
      </c>
      <c r="D471" s="5">
        <v>762</v>
      </c>
      <c r="E471" s="5">
        <v>1</v>
      </c>
      <c r="F471" s="5">
        <v>8</v>
      </c>
      <c r="G471" s="14">
        <v>34333</v>
      </c>
      <c r="H471" s="5">
        <v>601108</v>
      </c>
      <c r="I471" s="5" t="s">
        <v>14</v>
      </c>
    </row>
    <row r="472" spans="1:9" x14ac:dyDescent="0.4">
      <c r="A472" s="14">
        <v>43924</v>
      </c>
      <c r="B472" s="5">
        <v>83885</v>
      </c>
      <c r="C472" s="5" t="s">
        <v>23</v>
      </c>
      <c r="D472" s="5">
        <v>703</v>
      </c>
      <c r="E472" s="5">
        <v>1</v>
      </c>
      <c r="F472" s="5">
        <v>9</v>
      </c>
      <c r="G472" s="14">
        <v>29819</v>
      </c>
      <c r="H472" s="5">
        <v>990159</v>
      </c>
      <c r="I472" s="5" t="s">
        <v>10</v>
      </c>
    </row>
    <row r="473" spans="1:9" x14ac:dyDescent="0.4">
      <c r="A473" s="14">
        <v>44073</v>
      </c>
      <c r="B473" s="5">
        <v>99618</v>
      </c>
      <c r="C473" s="5" t="s">
        <v>34</v>
      </c>
      <c r="D473" s="5">
        <v>766</v>
      </c>
      <c r="E473" s="5">
        <v>2</v>
      </c>
      <c r="F473" s="5">
        <v>3</v>
      </c>
      <c r="G473" s="14">
        <v>29548</v>
      </c>
      <c r="H473" s="5">
        <v>630292</v>
      </c>
      <c r="I473" s="5" t="s">
        <v>17</v>
      </c>
    </row>
    <row r="474" spans="1:9" x14ac:dyDescent="0.4">
      <c r="A474" s="14">
        <v>43991</v>
      </c>
      <c r="B474" s="5">
        <v>17583</v>
      </c>
      <c r="C474" s="5" t="s">
        <v>35</v>
      </c>
      <c r="D474" s="5">
        <v>745</v>
      </c>
      <c r="E474" s="5">
        <v>2</v>
      </c>
      <c r="F474" s="5">
        <v>3</v>
      </c>
      <c r="G474" s="14">
        <v>31381</v>
      </c>
      <c r="H474" s="5">
        <v>614908</v>
      </c>
      <c r="I474" s="5" t="s">
        <v>17</v>
      </c>
    </row>
    <row r="475" spans="1:9" x14ac:dyDescent="0.4">
      <c r="A475" s="14">
        <v>43851</v>
      </c>
      <c r="B475" s="5">
        <v>85664</v>
      </c>
      <c r="C475" s="5" t="s">
        <v>31</v>
      </c>
      <c r="D475" s="5">
        <v>747</v>
      </c>
      <c r="E475" s="5">
        <v>4</v>
      </c>
      <c r="F475" s="5">
        <v>1</v>
      </c>
      <c r="G475" s="14">
        <v>29848</v>
      </c>
      <c r="H475" s="5">
        <v>575675</v>
      </c>
      <c r="I475" s="5" t="s">
        <v>14</v>
      </c>
    </row>
    <row r="476" spans="1:9" x14ac:dyDescent="0.4">
      <c r="A476" s="14">
        <v>44021</v>
      </c>
      <c r="B476" s="5">
        <v>71405</v>
      </c>
      <c r="C476" s="5" t="s">
        <v>13</v>
      </c>
      <c r="D476" s="5">
        <v>748</v>
      </c>
      <c r="E476" s="5">
        <v>1</v>
      </c>
      <c r="F476" s="5">
        <v>4</v>
      </c>
      <c r="G476" s="14">
        <v>32962</v>
      </c>
      <c r="H476" s="5">
        <v>907498</v>
      </c>
      <c r="I476" s="5" t="s">
        <v>10</v>
      </c>
    </row>
    <row r="477" spans="1:9" x14ac:dyDescent="0.4">
      <c r="A477" s="14">
        <v>43865</v>
      </c>
      <c r="B477" s="5">
        <v>77210</v>
      </c>
      <c r="C477" s="5" t="s">
        <v>31</v>
      </c>
      <c r="D477" s="5">
        <v>760</v>
      </c>
      <c r="E477" s="5">
        <v>5</v>
      </c>
      <c r="F477" s="5">
        <v>5</v>
      </c>
      <c r="G477" s="14">
        <v>32271</v>
      </c>
      <c r="H477" s="5">
        <v>640079</v>
      </c>
      <c r="I477" s="5" t="s">
        <v>17</v>
      </c>
    </row>
    <row r="478" spans="1:9" x14ac:dyDescent="0.4">
      <c r="A478" s="14">
        <v>43905</v>
      </c>
      <c r="B478" s="5">
        <v>67481</v>
      </c>
      <c r="C478" s="5" t="s">
        <v>26</v>
      </c>
      <c r="D478" s="5">
        <v>787</v>
      </c>
      <c r="E478" s="5">
        <v>3</v>
      </c>
      <c r="F478" s="5">
        <v>1</v>
      </c>
      <c r="G478" s="14">
        <v>29612</v>
      </c>
      <c r="H478" s="5">
        <v>760487</v>
      </c>
      <c r="I478" s="5" t="s">
        <v>17</v>
      </c>
    </row>
    <row r="479" spans="1:9" x14ac:dyDescent="0.4">
      <c r="A479" s="14">
        <v>43955</v>
      </c>
      <c r="B479" s="5">
        <v>64838</v>
      </c>
      <c r="C479" s="5" t="s">
        <v>23</v>
      </c>
      <c r="D479" s="5">
        <v>704</v>
      </c>
      <c r="E479" s="5">
        <v>5</v>
      </c>
      <c r="F479" s="5">
        <v>4</v>
      </c>
      <c r="G479" s="14">
        <v>32988</v>
      </c>
      <c r="H479" s="5">
        <v>816102</v>
      </c>
      <c r="I479" s="5" t="s">
        <v>17</v>
      </c>
    </row>
    <row r="480" spans="1:9" x14ac:dyDescent="0.4">
      <c r="A480" s="14">
        <v>44168</v>
      </c>
      <c r="B480" s="5">
        <v>94902</v>
      </c>
      <c r="C480" s="5" t="s">
        <v>23</v>
      </c>
      <c r="D480" s="5">
        <v>759</v>
      </c>
      <c r="E480" s="5">
        <v>1</v>
      </c>
      <c r="F480" s="5">
        <v>2</v>
      </c>
      <c r="G480" s="14">
        <v>32809</v>
      </c>
      <c r="H480" s="5">
        <v>852827</v>
      </c>
      <c r="I480" s="5" t="s">
        <v>10</v>
      </c>
    </row>
    <row r="481" spans="1:9" x14ac:dyDescent="0.4">
      <c r="A481" s="14">
        <v>44048</v>
      </c>
      <c r="B481" s="5">
        <v>32195</v>
      </c>
      <c r="C481" s="5" t="s">
        <v>19</v>
      </c>
      <c r="D481" s="5">
        <v>707</v>
      </c>
      <c r="E481" s="5">
        <v>5</v>
      </c>
      <c r="F481" s="5">
        <v>7</v>
      </c>
      <c r="G481" s="14">
        <v>31955</v>
      </c>
      <c r="H481" s="5">
        <v>805154</v>
      </c>
      <c r="I481" s="5" t="s">
        <v>17</v>
      </c>
    </row>
    <row r="482" spans="1:9" x14ac:dyDescent="0.4">
      <c r="A482" s="14">
        <v>44131</v>
      </c>
      <c r="B482" s="5">
        <v>54760</v>
      </c>
      <c r="C482" s="5" t="s">
        <v>11</v>
      </c>
      <c r="D482" s="5">
        <v>752</v>
      </c>
      <c r="E482" s="5">
        <v>5</v>
      </c>
      <c r="F482" s="5">
        <v>1</v>
      </c>
      <c r="G482" s="14">
        <v>32302</v>
      </c>
      <c r="H482" s="5">
        <v>979687</v>
      </c>
      <c r="I482" s="5" t="s">
        <v>17</v>
      </c>
    </row>
    <row r="483" spans="1:9" x14ac:dyDescent="0.4">
      <c r="A483" s="14">
        <v>44140</v>
      </c>
      <c r="B483" s="5">
        <v>76284</v>
      </c>
      <c r="C483" s="5" t="s">
        <v>24</v>
      </c>
      <c r="D483" s="5">
        <v>757</v>
      </c>
      <c r="E483" s="5">
        <v>2</v>
      </c>
      <c r="F483" s="5">
        <v>8</v>
      </c>
      <c r="G483" s="14">
        <v>30259</v>
      </c>
      <c r="H483" s="5">
        <v>642552</v>
      </c>
      <c r="I483" s="5" t="s">
        <v>17</v>
      </c>
    </row>
    <row r="484" spans="1:9" x14ac:dyDescent="0.4">
      <c r="A484" s="14">
        <v>44038</v>
      </c>
      <c r="B484" s="5">
        <v>38227</v>
      </c>
      <c r="C484" s="5" t="s">
        <v>22</v>
      </c>
      <c r="D484" s="5">
        <v>743</v>
      </c>
      <c r="E484" s="5">
        <v>1</v>
      </c>
      <c r="F484" s="5">
        <v>3</v>
      </c>
      <c r="G484" s="14">
        <v>31205</v>
      </c>
      <c r="H484" s="5">
        <v>912232</v>
      </c>
      <c r="I484" s="5" t="s">
        <v>14</v>
      </c>
    </row>
    <row r="485" spans="1:9" x14ac:dyDescent="0.4">
      <c r="A485" s="14">
        <v>43868</v>
      </c>
      <c r="B485" s="5">
        <v>67019</v>
      </c>
      <c r="C485" s="5" t="s">
        <v>12</v>
      </c>
      <c r="D485" s="5">
        <v>737</v>
      </c>
      <c r="E485" s="5">
        <v>5</v>
      </c>
      <c r="F485" s="5">
        <v>5</v>
      </c>
      <c r="G485" s="14">
        <v>30765</v>
      </c>
      <c r="H485" s="5">
        <v>942795</v>
      </c>
      <c r="I485" s="5" t="s">
        <v>17</v>
      </c>
    </row>
    <row r="486" spans="1:9" x14ac:dyDescent="0.4">
      <c r="A486" s="14">
        <v>43882</v>
      </c>
      <c r="B486" s="5">
        <v>11498</v>
      </c>
      <c r="C486" s="5" t="s">
        <v>30</v>
      </c>
      <c r="D486" s="5">
        <v>793</v>
      </c>
      <c r="E486" s="5">
        <v>2</v>
      </c>
      <c r="F486" s="5">
        <v>6</v>
      </c>
      <c r="G486" s="14">
        <v>33352</v>
      </c>
      <c r="H486" s="5">
        <v>861953</v>
      </c>
      <c r="I486" s="5" t="s">
        <v>10</v>
      </c>
    </row>
    <row r="487" spans="1:9" x14ac:dyDescent="0.4">
      <c r="A487" s="14">
        <v>44026</v>
      </c>
      <c r="B487" s="5">
        <v>48916</v>
      </c>
      <c r="C487" s="5" t="s">
        <v>23</v>
      </c>
      <c r="D487" s="5">
        <v>710</v>
      </c>
      <c r="E487" s="5">
        <v>4</v>
      </c>
      <c r="F487" s="5">
        <v>7</v>
      </c>
      <c r="G487" s="14">
        <v>29954</v>
      </c>
      <c r="H487" s="5">
        <v>764369</v>
      </c>
      <c r="I487" s="5" t="s">
        <v>17</v>
      </c>
    </row>
    <row r="488" spans="1:9" x14ac:dyDescent="0.4">
      <c r="A488" s="14">
        <v>44133</v>
      </c>
      <c r="B488" s="5">
        <v>81749</v>
      </c>
      <c r="C488" s="5" t="s">
        <v>25</v>
      </c>
      <c r="D488" s="5">
        <v>793</v>
      </c>
      <c r="E488" s="5">
        <v>5</v>
      </c>
      <c r="F488" s="5">
        <v>4</v>
      </c>
      <c r="G488" s="14">
        <v>33404</v>
      </c>
      <c r="H488" s="5">
        <v>583217</v>
      </c>
      <c r="I488" s="5" t="s">
        <v>14</v>
      </c>
    </row>
    <row r="489" spans="1:9" x14ac:dyDescent="0.4">
      <c r="A489" s="14">
        <v>44119</v>
      </c>
      <c r="B489" s="5">
        <v>16926</v>
      </c>
      <c r="C489" s="5" t="s">
        <v>19</v>
      </c>
      <c r="D489" s="5">
        <v>720</v>
      </c>
      <c r="E489" s="5">
        <v>5</v>
      </c>
      <c r="F489" s="5">
        <v>4</v>
      </c>
      <c r="G489" s="14">
        <v>29901</v>
      </c>
      <c r="H489" s="5">
        <v>584414</v>
      </c>
      <c r="I489" s="5" t="s">
        <v>17</v>
      </c>
    </row>
    <row r="490" spans="1:9" x14ac:dyDescent="0.4">
      <c r="A490" s="14">
        <v>43851</v>
      </c>
      <c r="B490" s="5">
        <v>75600</v>
      </c>
      <c r="C490" s="5" t="s">
        <v>33</v>
      </c>
      <c r="D490" s="5">
        <v>718</v>
      </c>
      <c r="E490" s="5">
        <v>2</v>
      </c>
      <c r="F490" s="5">
        <v>2</v>
      </c>
      <c r="G490" s="14">
        <v>29541</v>
      </c>
      <c r="H490" s="5">
        <v>592278</v>
      </c>
      <c r="I490" s="5" t="s">
        <v>14</v>
      </c>
    </row>
    <row r="491" spans="1:9" x14ac:dyDescent="0.4">
      <c r="A491" s="14">
        <v>44156</v>
      </c>
      <c r="B491" s="5">
        <v>83490</v>
      </c>
      <c r="C491" s="5" t="s">
        <v>34</v>
      </c>
      <c r="D491" s="5">
        <v>705</v>
      </c>
      <c r="E491" s="5">
        <v>5</v>
      </c>
      <c r="F491" s="5">
        <v>4</v>
      </c>
      <c r="G491" s="14">
        <v>31998</v>
      </c>
      <c r="H491" s="5">
        <v>626770</v>
      </c>
      <c r="I491" s="5" t="s">
        <v>14</v>
      </c>
    </row>
    <row r="492" spans="1:9" x14ac:dyDescent="0.4">
      <c r="A492" s="14">
        <v>43919</v>
      </c>
      <c r="B492" s="5">
        <v>85785</v>
      </c>
      <c r="C492" s="5" t="s">
        <v>15</v>
      </c>
      <c r="D492" s="5">
        <v>779</v>
      </c>
      <c r="E492" s="5">
        <v>5</v>
      </c>
      <c r="F492" s="5">
        <v>8</v>
      </c>
      <c r="G492" s="14">
        <v>34262</v>
      </c>
      <c r="H492" s="5">
        <v>647437</v>
      </c>
      <c r="I492" s="5" t="s">
        <v>17</v>
      </c>
    </row>
    <row r="493" spans="1:9" x14ac:dyDescent="0.4">
      <c r="A493" s="14">
        <v>44056</v>
      </c>
      <c r="B493" s="5">
        <v>94775</v>
      </c>
      <c r="C493" s="5" t="s">
        <v>11</v>
      </c>
      <c r="D493" s="5">
        <v>715</v>
      </c>
      <c r="E493" s="5">
        <v>4</v>
      </c>
      <c r="F493" s="5">
        <v>6</v>
      </c>
      <c r="G493" s="14">
        <v>31004</v>
      </c>
      <c r="H493" s="5">
        <v>911454</v>
      </c>
      <c r="I493" s="5" t="s">
        <v>10</v>
      </c>
    </row>
    <row r="494" spans="1:9" x14ac:dyDescent="0.4">
      <c r="A494" s="14">
        <v>43926</v>
      </c>
      <c r="B494" s="5">
        <v>23065</v>
      </c>
      <c r="C494" s="5" t="s">
        <v>24</v>
      </c>
      <c r="D494" s="5">
        <v>772</v>
      </c>
      <c r="E494" s="5">
        <v>2</v>
      </c>
      <c r="F494" s="5">
        <v>9</v>
      </c>
      <c r="G494" s="14">
        <v>33288</v>
      </c>
      <c r="H494" s="5">
        <v>800792</v>
      </c>
      <c r="I494" s="5" t="s">
        <v>17</v>
      </c>
    </row>
    <row r="495" spans="1:9" x14ac:dyDescent="0.4">
      <c r="A495" s="14">
        <v>43981</v>
      </c>
      <c r="B495" s="5">
        <v>23396</v>
      </c>
      <c r="C495" s="5" t="s">
        <v>31</v>
      </c>
      <c r="D495" s="5">
        <v>779</v>
      </c>
      <c r="E495" s="5">
        <v>5</v>
      </c>
      <c r="F495" s="5">
        <v>3</v>
      </c>
      <c r="G495" s="14">
        <v>33422</v>
      </c>
      <c r="H495" s="5">
        <v>888950</v>
      </c>
      <c r="I495" s="5" t="s">
        <v>17</v>
      </c>
    </row>
    <row r="496" spans="1:9" x14ac:dyDescent="0.4">
      <c r="A496" s="14">
        <v>43998</v>
      </c>
      <c r="B496" s="5">
        <v>74049</v>
      </c>
      <c r="C496" s="5" t="s">
        <v>18</v>
      </c>
      <c r="D496" s="5">
        <v>758</v>
      </c>
      <c r="E496" s="5">
        <v>4</v>
      </c>
      <c r="F496" s="5">
        <v>1</v>
      </c>
      <c r="G496" s="14">
        <v>33938</v>
      </c>
      <c r="H496" s="5">
        <v>572491</v>
      </c>
      <c r="I496" s="5" t="s">
        <v>14</v>
      </c>
    </row>
    <row r="497" spans="1:9" x14ac:dyDescent="0.4">
      <c r="A497" s="14">
        <v>44079</v>
      </c>
      <c r="B497" s="5">
        <v>69915</v>
      </c>
      <c r="C497" s="5" t="s">
        <v>9</v>
      </c>
      <c r="D497" s="5">
        <v>737</v>
      </c>
      <c r="E497" s="5">
        <v>2</v>
      </c>
      <c r="F497" s="5">
        <v>7</v>
      </c>
      <c r="G497" s="14">
        <v>33676</v>
      </c>
      <c r="H497" s="5">
        <v>863721</v>
      </c>
      <c r="I497" s="5" t="s">
        <v>14</v>
      </c>
    </row>
    <row r="498" spans="1:9" x14ac:dyDescent="0.4">
      <c r="A498" s="14">
        <v>44141</v>
      </c>
      <c r="B498" s="5">
        <v>24421</v>
      </c>
      <c r="C498" s="5" t="s">
        <v>32</v>
      </c>
      <c r="D498" s="5">
        <v>723</v>
      </c>
      <c r="E498" s="5">
        <v>4</v>
      </c>
      <c r="F498" s="5">
        <v>9</v>
      </c>
      <c r="G498" s="14">
        <v>33228</v>
      </c>
      <c r="H498" s="5">
        <v>835950</v>
      </c>
      <c r="I498" s="5" t="s">
        <v>14</v>
      </c>
    </row>
    <row r="499" spans="1:9" x14ac:dyDescent="0.4">
      <c r="A499" s="14">
        <v>43923</v>
      </c>
      <c r="B499" s="5">
        <v>58454</v>
      </c>
      <c r="C499" s="5" t="s">
        <v>28</v>
      </c>
      <c r="D499" s="5">
        <v>727</v>
      </c>
      <c r="E499" s="5">
        <v>4</v>
      </c>
      <c r="F499" s="5">
        <v>6</v>
      </c>
      <c r="G499" s="14">
        <v>34567</v>
      </c>
      <c r="H499" s="5">
        <v>881526</v>
      </c>
      <c r="I499" s="5" t="s">
        <v>14</v>
      </c>
    </row>
    <row r="500" spans="1:9" x14ac:dyDescent="0.4">
      <c r="A500" s="14">
        <v>43905</v>
      </c>
      <c r="B500" s="5">
        <v>13253</v>
      </c>
      <c r="C500" s="5" t="s">
        <v>16</v>
      </c>
      <c r="D500" s="5">
        <v>759</v>
      </c>
      <c r="E500" s="5">
        <v>4</v>
      </c>
      <c r="F500" s="5">
        <v>1</v>
      </c>
      <c r="G500" s="14">
        <v>31321</v>
      </c>
      <c r="H500" s="5">
        <v>789275</v>
      </c>
      <c r="I500" s="5" t="s">
        <v>10</v>
      </c>
    </row>
    <row r="501" spans="1:9" x14ac:dyDescent="0.4">
      <c r="A501" s="14">
        <v>44081</v>
      </c>
      <c r="B501" s="5">
        <v>32410</v>
      </c>
      <c r="C501" s="5" t="s">
        <v>28</v>
      </c>
      <c r="D501" s="5">
        <v>706</v>
      </c>
      <c r="E501" s="5">
        <v>4</v>
      </c>
      <c r="F501" s="5">
        <v>1</v>
      </c>
      <c r="G501" s="14">
        <v>29645</v>
      </c>
      <c r="H501" s="5">
        <v>963204</v>
      </c>
      <c r="I501" s="5" t="s">
        <v>10</v>
      </c>
    </row>
    <row r="502" spans="1:9" x14ac:dyDescent="0.4">
      <c r="A502" s="14">
        <v>44040</v>
      </c>
      <c r="B502" s="5">
        <v>11713</v>
      </c>
      <c r="C502" s="5" t="s">
        <v>33</v>
      </c>
      <c r="D502" s="5">
        <v>703</v>
      </c>
      <c r="E502" s="5">
        <v>4</v>
      </c>
      <c r="F502" s="5">
        <v>9</v>
      </c>
      <c r="G502" s="14">
        <v>32413</v>
      </c>
      <c r="H502" s="5">
        <v>871572</v>
      </c>
      <c r="I502" s="5" t="s">
        <v>17</v>
      </c>
    </row>
    <row r="503" spans="1:9" x14ac:dyDescent="0.4">
      <c r="A503" s="14">
        <v>43903</v>
      </c>
      <c r="B503" s="5">
        <v>49626</v>
      </c>
      <c r="C503" s="5" t="s">
        <v>28</v>
      </c>
      <c r="D503" s="5">
        <v>702</v>
      </c>
      <c r="E503" s="5">
        <v>2</v>
      </c>
      <c r="F503" s="5">
        <v>4</v>
      </c>
      <c r="G503" s="14">
        <v>31113</v>
      </c>
      <c r="H503" s="5">
        <v>618850</v>
      </c>
      <c r="I503" s="5" t="s">
        <v>17</v>
      </c>
    </row>
    <row r="504" spans="1:9" x14ac:dyDescent="0.4">
      <c r="A504" s="14">
        <v>43959</v>
      </c>
      <c r="B504" s="5">
        <v>25602</v>
      </c>
      <c r="C504" s="5" t="s">
        <v>33</v>
      </c>
      <c r="D504" s="5">
        <v>747</v>
      </c>
      <c r="E504" s="5">
        <v>1</v>
      </c>
      <c r="F504" s="5">
        <v>4</v>
      </c>
      <c r="G504" s="14">
        <v>34240</v>
      </c>
      <c r="H504" s="5">
        <v>979398</v>
      </c>
      <c r="I504" s="5" t="s">
        <v>17</v>
      </c>
    </row>
    <row r="505" spans="1:9" x14ac:dyDescent="0.4">
      <c r="A505" s="14">
        <v>43872</v>
      </c>
      <c r="B505" s="5">
        <v>82529</v>
      </c>
      <c r="C505" s="5" t="s">
        <v>31</v>
      </c>
      <c r="D505" s="5">
        <v>712</v>
      </c>
      <c r="E505" s="5">
        <v>5</v>
      </c>
      <c r="F505" s="5">
        <v>6</v>
      </c>
      <c r="G505" s="14">
        <v>31184</v>
      </c>
      <c r="H505" s="5">
        <v>792059</v>
      </c>
      <c r="I505" s="5" t="s">
        <v>14</v>
      </c>
    </row>
    <row r="506" spans="1:9" x14ac:dyDescent="0.4">
      <c r="A506" s="14">
        <v>44076</v>
      </c>
      <c r="B506" s="5">
        <v>33160</v>
      </c>
      <c r="C506" s="5" t="s">
        <v>16</v>
      </c>
      <c r="D506" s="5">
        <v>714</v>
      </c>
      <c r="E506" s="5">
        <v>1</v>
      </c>
      <c r="F506" s="5">
        <v>6</v>
      </c>
      <c r="G506" s="14">
        <v>29362</v>
      </c>
      <c r="H506" s="5">
        <v>938703</v>
      </c>
      <c r="I506" s="5" t="s">
        <v>14</v>
      </c>
    </row>
    <row r="507" spans="1:9" x14ac:dyDescent="0.4">
      <c r="A507" s="14">
        <v>44106</v>
      </c>
      <c r="B507" s="5">
        <v>41449</v>
      </c>
      <c r="C507" s="5" t="s">
        <v>35</v>
      </c>
      <c r="D507" s="5">
        <v>741</v>
      </c>
      <c r="E507" s="5">
        <v>3</v>
      </c>
      <c r="F507" s="5">
        <v>2</v>
      </c>
      <c r="G507" s="14">
        <v>33308</v>
      </c>
      <c r="H507" s="5">
        <v>701666</v>
      </c>
      <c r="I507" s="5" t="s">
        <v>14</v>
      </c>
    </row>
    <row r="508" spans="1:9" x14ac:dyDescent="0.4">
      <c r="A508" s="14">
        <v>44084</v>
      </c>
      <c r="B508" s="5">
        <v>71321</v>
      </c>
      <c r="C508" s="5" t="s">
        <v>24</v>
      </c>
      <c r="D508" s="5">
        <v>758</v>
      </c>
      <c r="E508" s="5">
        <v>4</v>
      </c>
      <c r="F508" s="5">
        <v>3</v>
      </c>
      <c r="G508" s="14">
        <v>33494</v>
      </c>
      <c r="H508" s="5">
        <v>898390</v>
      </c>
      <c r="I508" s="5" t="s">
        <v>10</v>
      </c>
    </row>
    <row r="509" spans="1:9" x14ac:dyDescent="0.4">
      <c r="A509" s="14">
        <v>44018</v>
      </c>
      <c r="B509" s="5">
        <v>14370</v>
      </c>
      <c r="C509" s="5" t="s">
        <v>31</v>
      </c>
      <c r="D509" s="5">
        <v>776</v>
      </c>
      <c r="E509" s="5">
        <v>5</v>
      </c>
      <c r="F509" s="5">
        <v>8</v>
      </c>
      <c r="G509" s="14">
        <v>30867</v>
      </c>
      <c r="H509" s="5">
        <v>637201</v>
      </c>
      <c r="I509" s="5" t="s">
        <v>14</v>
      </c>
    </row>
    <row r="510" spans="1:9" x14ac:dyDescent="0.4">
      <c r="A510" s="14">
        <v>44140</v>
      </c>
      <c r="B510" s="5">
        <v>57441</v>
      </c>
      <c r="C510" s="5" t="s">
        <v>28</v>
      </c>
      <c r="D510" s="5">
        <v>701</v>
      </c>
      <c r="E510" s="5">
        <v>3</v>
      </c>
      <c r="F510" s="5">
        <v>7</v>
      </c>
      <c r="G510" s="14">
        <v>31507</v>
      </c>
      <c r="H510" s="5">
        <v>629314</v>
      </c>
      <c r="I510" s="5" t="s">
        <v>17</v>
      </c>
    </row>
    <row r="511" spans="1:9" x14ac:dyDescent="0.4">
      <c r="A511" s="14">
        <v>43977</v>
      </c>
      <c r="B511" s="5">
        <v>89223</v>
      </c>
      <c r="C511" s="5" t="s">
        <v>21</v>
      </c>
      <c r="D511" s="5">
        <v>777</v>
      </c>
      <c r="E511" s="5">
        <v>5</v>
      </c>
      <c r="F511" s="5">
        <v>2</v>
      </c>
      <c r="G511" s="14">
        <v>33928</v>
      </c>
      <c r="H511" s="5">
        <v>601092</v>
      </c>
      <c r="I511" s="5" t="s">
        <v>10</v>
      </c>
    </row>
    <row r="512" spans="1:9" x14ac:dyDescent="0.4">
      <c r="A512" s="14">
        <v>44086</v>
      </c>
      <c r="B512" s="5">
        <v>90372</v>
      </c>
      <c r="C512" s="5" t="s">
        <v>27</v>
      </c>
      <c r="D512" s="5">
        <v>746</v>
      </c>
      <c r="E512" s="5">
        <v>2</v>
      </c>
      <c r="F512" s="5">
        <v>6</v>
      </c>
      <c r="G512" s="14">
        <v>32278</v>
      </c>
      <c r="H512" s="5">
        <v>569389</v>
      </c>
      <c r="I512" s="5" t="s">
        <v>10</v>
      </c>
    </row>
    <row r="513" spans="1:9" x14ac:dyDescent="0.4">
      <c r="A513" s="14">
        <v>44126</v>
      </c>
      <c r="B513" s="5">
        <v>35132</v>
      </c>
      <c r="C513" s="5" t="s">
        <v>21</v>
      </c>
      <c r="D513" s="5">
        <v>745</v>
      </c>
      <c r="E513" s="5">
        <v>1</v>
      </c>
      <c r="F513" s="5">
        <v>10</v>
      </c>
      <c r="G513" s="14">
        <v>31938</v>
      </c>
      <c r="H513" s="5">
        <v>906581</v>
      </c>
      <c r="I513" s="5" t="s">
        <v>14</v>
      </c>
    </row>
    <row r="514" spans="1:9" x14ac:dyDescent="0.4">
      <c r="A514" s="14">
        <v>43900</v>
      </c>
      <c r="B514" s="5">
        <v>99699</v>
      </c>
      <c r="C514" s="5" t="s">
        <v>15</v>
      </c>
      <c r="D514" s="5">
        <v>701</v>
      </c>
      <c r="E514" s="5">
        <v>1</v>
      </c>
      <c r="F514" s="5">
        <v>8</v>
      </c>
      <c r="G514" s="14">
        <v>33518</v>
      </c>
      <c r="H514" s="5">
        <v>691306</v>
      </c>
      <c r="I514" s="5" t="s">
        <v>17</v>
      </c>
    </row>
    <row r="515" spans="1:9" x14ac:dyDescent="0.4">
      <c r="A515" s="14">
        <v>44138</v>
      </c>
      <c r="B515" s="5">
        <v>73788</v>
      </c>
      <c r="C515" s="5" t="s">
        <v>23</v>
      </c>
      <c r="D515" s="5">
        <v>714</v>
      </c>
      <c r="E515" s="5">
        <v>4</v>
      </c>
      <c r="F515" s="5">
        <v>9</v>
      </c>
      <c r="G515" s="14">
        <v>34638</v>
      </c>
      <c r="H515" s="5">
        <v>594655</v>
      </c>
      <c r="I515" s="5" t="s">
        <v>10</v>
      </c>
    </row>
    <row r="516" spans="1:9" x14ac:dyDescent="0.4">
      <c r="A516" s="14">
        <v>44020</v>
      </c>
      <c r="B516" s="5">
        <v>33329</v>
      </c>
      <c r="C516" s="5" t="s">
        <v>31</v>
      </c>
      <c r="D516" s="5">
        <v>728</v>
      </c>
      <c r="E516" s="5">
        <v>2</v>
      </c>
      <c r="F516" s="5">
        <v>7</v>
      </c>
      <c r="G516" s="14">
        <v>32218</v>
      </c>
      <c r="H516" s="5">
        <v>609323</v>
      </c>
      <c r="I516" s="5" t="s">
        <v>10</v>
      </c>
    </row>
    <row r="517" spans="1:9" x14ac:dyDescent="0.4">
      <c r="A517" s="14">
        <v>44049</v>
      </c>
      <c r="B517" s="5">
        <v>91695</v>
      </c>
      <c r="C517" s="5" t="s">
        <v>25</v>
      </c>
      <c r="D517" s="5">
        <v>725</v>
      </c>
      <c r="E517" s="5">
        <v>1</v>
      </c>
      <c r="F517" s="5">
        <v>9</v>
      </c>
      <c r="G517" s="14">
        <v>31334</v>
      </c>
      <c r="H517" s="5">
        <v>616474</v>
      </c>
      <c r="I517" s="5" t="s">
        <v>10</v>
      </c>
    </row>
    <row r="518" spans="1:9" x14ac:dyDescent="0.4">
      <c r="A518" s="14">
        <v>43955</v>
      </c>
      <c r="B518" s="5">
        <v>43918</v>
      </c>
      <c r="C518" s="5" t="s">
        <v>32</v>
      </c>
      <c r="D518" s="5">
        <v>717</v>
      </c>
      <c r="E518" s="5">
        <v>4</v>
      </c>
      <c r="F518" s="5">
        <v>2</v>
      </c>
      <c r="G518" s="14">
        <v>32024</v>
      </c>
      <c r="H518" s="5">
        <v>965774</v>
      </c>
      <c r="I518" s="5" t="s">
        <v>10</v>
      </c>
    </row>
    <row r="519" spans="1:9" x14ac:dyDescent="0.4">
      <c r="A519" s="14">
        <v>44066</v>
      </c>
      <c r="B519" s="5">
        <v>72046</v>
      </c>
      <c r="C519" s="5" t="s">
        <v>27</v>
      </c>
      <c r="D519" s="5">
        <v>742</v>
      </c>
      <c r="E519" s="5">
        <v>4</v>
      </c>
      <c r="F519" s="5">
        <v>4</v>
      </c>
      <c r="G519" s="14">
        <v>31733</v>
      </c>
      <c r="H519" s="5">
        <v>866598</v>
      </c>
      <c r="I519" s="5" t="s">
        <v>10</v>
      </c>
    </row>
    <row r="520" spans="1:9" x14ac:dyDescent="0.4">
      <c r="A520" s="14">
        <v>43986</v>
      </c>
      <c r="B520" s="5">
        <v>71085</v>
      </c>
      <c r="C520" s="5" t="s">
        <v>19</v>
      </c>
      <c r="D520" s="5">
        <v>747</v>
      </c>
      <c r="E520" s="5">
        <v>5</v>
      </c>
      <c r="F520" s="5">
        <v>5</v>
      </c>
      <c r="G520" s="14">
        <v>29931</v>
      </c>
      <c r="H520" s="5">
        <v>727411</v>
      </c>
      <c r="I520" s="5" t="s">
        <v>10</v>
      </c>
    </row>
    <row r="521" spans="1:9" x14ac:dyDescent="0.4">
      <c r="A521" s="14">
        <v>44145</v>
      </c>
      <c r="B521" s="5">
        <v>27980</v>
      </c>
      <c r="C521" s="5" t="s">
        <v>19</v>
      </c>
      <c r="D521" s="5">
        <v>700</v>
      </c>
      <c r="E521" s="5">
        <v>5</v>
      </c>
      <c r="F521" s="5">
        <v>5</v>
      </c>
      <c r="G521" s="14">
        <v>32280</v>
      </c>
      <c r="H521" s="5">
        <v>840811</v>
      </c>
      <c r="I521" s="5" t="s">
        <v>10</v>
      </c>
    </row>
    <row r="522" spans="1:9" x14ac:dyDescent="0.4">
      <c r="A522" s="14">
        <v>44067</v>
      </c>
      <c r="B522" s="5">
        <v>21407</v>
      </c>
      <c r="C522" s="5" t="s">
        <v>22</v>
      </c>
      <c r="D522" s="5">
        <v>723</v>
      </c>
      <c r="E522" s="5">
        <v>1</v>
      </c>
      <c r="F522" s="5">
        <v>10</v>
      </c>
      <c r="G522" s="14">
        <v>32904</v>
      </c>
      <c r="H522" s="5">
        <v>644713</v>
      </c>
      <c r="I522" s="5" t="s">
        <v>17</v>
      </c>
    </row>
    <row r="523" spans="1:9" x14ac:dyDescent="0.4">
      <c r="A523" s="14">
        <v>43946</v>
      </c>
      <c r="B523" s="5">
        <v>37415</v>
      </c>
      <c r="C523" s="5" t="s">
        <v>13</v>
      </c>
      <c r="D523" s="5">
        <v>705</v>
      </c>
      <c r="E523" s="5">
        <v>3</v>
      </c>
      <c r="F523" s="5">
        <v>1</v>
      </c>
      <c r="G523" s="14">
        <v>33315</v>
      </c>
      <c r="H523" s="5">
        <v>910971</v>
      </c>
      <c r="I523" s="5" t="s">
        <v>17</v>
      </c>
    </row>
    <row r="524" spans="1:9" x14ac:dyDescent="0.4">
      <c r="A524" s="14">
        <v>43913</v>
      </c>
      <c r="B524" s="5">
        <v>96780</v>
      </c>
      <c r="C524" s="5" t="s">
        <v>29</v>
      </c>
      <c r="D524" s="5">
        <v>755</v>
      </c>
      <c r="E524" s="5">
        <v>1</v>
      </c>
      <c r="F524" s="5">
        <v>1</v>
      </c>
      <c r="G524" s="14">
        <v>34523</v>
      </c>
      <c r="H524" s="5">
        <v>753695</v>
      </c>
      <c r="I524" s="5" t="s">
        <v>14</v>
      </c>
    </row>
    <row r="525" spans="1:9" x14ac:dyDescent="0.4">
      <c r="A525" s="14">
        <v>44157</v>
      </c>
      <c r="B525" s="5">
        <v>71238</v>
      </c>
      <c r="C525" s="5" t="s">
        <v>13</v>
      </c>
      <c r="D525" s="5">
        <v>780</v>
      </c>
      <c r="E525" s="5">
        <v>1</v>
      </c>
      <c r="F525" s="5">
        <v>5</v>
      </c>
      <c r="G525" s="14">
        <v>29275</v>
      </c>
      <c r="H525" s="5">
        <v>918569</v>
      </c>
      <c r="I525" s="5" t="s">
        <v>10</v>
      </c>
    </row>
    <row r="526" spans="1:9" x14ac:dyDescent="0.4">
      <c r="A526" s="14">
        <v>44131</v>
      </c>
      <c r="B526" s="5">
        <v>50595</v>
      </c>
      <c r="C526" s="5" t="s">
        <v>31</v>
      </c>
      <c r="D526" s="5">
        <v>745</v>
      </c>
      <c r="E526" s="5">
        <v>4</v>
      </c>
      <c r="F526" s="5">
        <v>6</v>
      </c>
      <c r="G526" s="14">
        <v>30212</v>
      </c>
      <c r="H526" s="5">
        <v>911149</v>
      </c>
      <c r="I526" s="5" t="s">
        <v>10</v>
      </c>
    </row>
    <row r="527" spans="1:9" x14ac:dyDescent="0.4">
      <c r="A527" s="14">
        <v>43881</v>
      </c>
      <c r="B527" s="5">
        <v>15443</v>
      </c>
      <c r="C527" s="5" t="s">
        <v>9</v>
      </c>
      <c r="D527" s="5">
        <v>758</v>
      </c>
      <c r="E527" s="5">
        <v>1</v>
      </c>
      <c r="F527" s="5">
        <v>8</v>
      </c>
      <c r="G527" s="14">
        <v>33031</v>
      </c>
      <c r="H527" s="5">
        <v>704263</v>
      </c>
      <c r="I527" s="5" t="s">
        <v>17</v>
      </c>
    </row>
    <row r="528" spans="1:9" x14ac:dyDescent="0.4">
      <c r="A528" s="14">
        <v>43979</v>
      </c>
      <c r="B528" s="5">
        <v>63852</v>
      </c>
      <c r="C528" s="5" t="s">
        <v>12</v>
      </c>
      <c r="D528" s="5">
        <v>736</v>
      </c>
      <c r="E528" s="5">
        <v>1</v>
      </c>
      <c r="F528" s="5">
        <v>6</v>
      </c>
      <c r="G528" s="14">
        <v>33944</v>
      </c>
      <c r="H528" s="5">
        <v>520081</v>
      </c>
      <c r="I528" s="5" t="s">
        <v>10</v>
      </c>
    </row>
    <row r="529" spans="1:9" x14ac:dyDescent="0.4">
      <c r="A529" s="14">
        <v>43837</v>
      </c>
      <c r="B529" s="5">
        <v>58573</v>
      </c>
      <c r="C529" s="5" t="s">
        <v>16</v>
      </c>
      <c r="D529" s="5">
        <v>747</v>
      </c>
      <c r="E529" s="5">
        <v>2</v>
      </c>
      <c r="F529" s="5">
        <v>2</v>
      </c>
      <c r="G529" s="14">
        <v>31889</v>
      </c>
      <c r="H529" s="5">
        <v>864697</v>
      </c>
      <c r="I529" s="5" t="s">
        <v>17</v>
      </c>
    </row>
    <row r="530" spans="1:9" x14ac:dyDescent="0.4">
      <c r="A530" s="14">
        <v>44162</v>
      </c>
      <c r="B530" s="5">
        <v>33080</v>
      </c>
      <c r="C530" s="5" t="s">
        <v>31</v>
      </c>
      <c r="D530" s="5">
        <v>781</v>
      </c>
      <c r="E530" s="5">
        <v>2</v>
      </c>
      <c r="F530" s="5">
        <v>3</v>
      </c>
      <c r="G530" s="14">
        <v>34056</v>
      </c>
      <c r="H530" s="5">
        <v>737419</v>
      </c>
      <c r="I530" s="5" t="s">
        <v>17</v>
      </c>
    </row>
    <row r="531" spans="1:9" x14ac:dyDescent="0.4">
      <c r="A531" s="14">
        <v>44108</v>
      </c>
      <c r="B531" s="5">
        <v>95942</v>
      </c>
      <c r="C531" s="5" t="s">
        <v>33</v>
      </c>
      <c r="D531" s="5">
        <v>729</v>
      </c>
      <c r="E531" s="5">
        <v>4</v>
      </c>
      <c r="F531" s="5">
        <v>10</v>
      </c>
      <c r="G531" s="14">
        <v>34092</v>
      </c>
      <c r="H531" s="5">
        <v>558030</v>
      </c>
      <c r="I531" s="5" t="s">
        <v>14</v>
      </c>
    </row>
    <row r="532" spans="1:9" x14ac:dyDescent="0.4">
      <c r="A532" s="14">
        <v>44110</v>
      </c>
      <c r="B532" s="5">
        <v>87308</v>
      </c>
      <c r="C532" s="5" t="s">
        <v>13</v>
      </c>
      <c r="D532" s="5">
        <v>710</v>
      </c>
      <c r="E532" s="5">
        <v>3</v>
      </c>
      <c r="F532" s="5">
        <v>7</v>
      </c>
      <c r="G532" s="14">
        <v>33141</v>
      </c>
      <c r="H532" s="5">
        <v>588194</v>
      </c>
      <c r="I532" s="5" t="s">
        <v>10</v>
      </c>
    </row>
    <row r="533" spans="1:9" x14ac:dyDescent="0.4">
      <c r="A533" s="14">
        <v>43838</v>
      </c>
      <c r="B533" s="5">
        <v>13620</v>
      </c>
      <c r="C533" s="5" t="s">
        <v>22</v>
      </c>
      <c r="D533" s="5">
        <v>785</v>
      </c>
      <c r="E533" s="5">
        <v>4</v>
      </c>
      <c r="F533" s="5">
        <v>6</v>
      </c>
      <c r="G533" s="14">
        <v>29781</v>
      </c>
      <c r="H533" s="5">
        <v>557207</v>
      </c>
      <c r="I533" s="5" t="s">
        <v>17</v>
      </c>
    </row>
    <row r="534" spans="1:9" x14ac:dyDescent="0.4">
      <c r="A534" s="14">
        <v>44076</v>
      </c>
      <c r="B534" s="5">
        <v>97312</v>
      </c>
      <c r="C534" s="5" t="s">
        <v>25</v>
      </c>
      <c r="D534" s="5">
        <v>788</v>
      </c>
      <c r="E534" s="5">
        <v>5</v>
      </c>
      <c r="F534" s="5">
        <v>9</v>
      </c>
      <c r="G534" s="14">
        <v>29674</v>
      </c>
      <c r="H534" s="5">
        <v>541314</v>
      </c>
      <c r="I534" s="5" t="s">
        <v>17</v>
      </c>
    </row>
    <row r="535" spans="1:9" x14ac:dyDescent="0.4">
      <c r="A535" s="14">
        <v>44144</v>
      </c>
      <c r="B535" s="5">
        <v>33399</v>
      </c>
      <c r="C535" s="5" t="s">
        <v>35</v>
      </c>
      <c r="D535" s="5">
        <v>708</v>
      </c>
      <c r="E535" s="5">
        <v>2</v>
      </c>
      <c r="F535" s="5">
        <v>3</v>
      </c>
      <c r="G535" s="14">
        <v>34070</v>
      </c>
      <c r="H535" s="5">
        <v>526493</v>
      </c>
      <c r="I535" s="5" t="s">
        <v>17</v>
      </c>
    </row>
    <row r="536" spans="1:9" x14ac:dyDescent="0.4">
      <c r="A536" s="14">
        <v>44070</v>
      </c>
      <c r="B536" s="5">
        <v>24165</v>
      </c>
      <c r="C536" s="5" t="s">
        <v>30</v>
      </c>
      <c r="D536" s="5">
        <v>751</v>
      </c>
      <c r="E536" s="5">
        <v>1</v>
      </c>
      <c r="F536" s="5">
        <v>7</v>
      </c>
      <c r="G536" s="14">
        <v>30357</v>
      </c>
      <c r="H536" s="5">
        <v>568904</v>
      </c>
      <c r="I536" s="5" t="s">
        <v>14</v>
      </c>
    </row>
    <row r="537" spans="1:9" x14ac:dyDescent="0.4">
      <c r="A537" s="14">
        <v>44134</v>
      </c>
      <c r="B537" s="5">
        <v>73609</v>
      </c>
      <c r="C537" s="5" t="s">
        <v>19</v>
      </c>
      <c r="D537" s="5">
        <v>739</v>
      </c>
      <c r="E537" s="5">
        <v>4</v>
      </c>
      <c r="F537" s="5">
        <v>2</v>
      </c>
      <c r="G537" s="14">
        <v>30339</v>
      </c>
      <c r="H537" s="5">
        <v>558445</v>
      </c>
      <c r="I537" s="5" t="s">
        <v>14</v>
      </c>
    </row>
    <row r="538" spans="1:9" x14ac:dyDescent="0.4">
      <c r="A538" s="14">
        <v>43974</v>
      </c>
      <c r="B538" s="5">
        <v>17847</v>
      </c>
      <c r="C538" s="5" t="s">
        <v>13</v>
      </c>
      <c r="D538" s="5">
        <v>770</v>
      </c>
      <c r="E538" s="5">
        <v>4</v>
      </c>
      <c r="F538" s="5">
        <v>9</v>
      </c>
      <c r="G538" s="14">
        <v>30290</v>
      </c>
      <c r="H538" s="5">
        <v>653315</v>
      </c>
      <c r="I538" s="5" t="s">
        <v>14</v>
      </c>
    </row>
    <row r="539" spans="1:9" x14ac:dyDescent="0.4">
      <c r="A539" s="14">
        <v>43965</v>
      </c>
      <c r="B539" s="5">
        <v>34408</v>
      </c>
      <c r="C539" s="5" t="s">
        <v>15</v>
      </c>
      <c r="D539" s="5">
        <v>772</v>
      </c>
      <c r="E539" s="5">
        <v>1</v>
      </c>
      <c r="F539" s="5">
        <v>8</v>
      </c>
      <c r="G539" s="14">
        <v>30504</v>
      </c>
      <c r="H539" s="5">
        <v>743563</v>
      </c>
      <c r="I539" s="5" t="s">
        <v>17</v>
      </c>
    </row>
    <row r="540" spans="1:9" x14ac:dyDescent="0.4">
      <c r="A540" s="14">
        <v>43956</v>
      </c>
      <c r="B540" s="5">
        <v>63076</v>
      </c>
      <c r="C540" s="5" t="s">
        <v>16</v>
      </c>
      <c r="D540" s="5">
        <v>793</v>
      </c>
      <c r="E540" s="5">
        <v>1</v>
      </c>
      <c r="F540" s="5">
        <v>3</v>
      </c>
      <c r="G540" s="14">
        <v>29258</v>
      </c>
      <c r="H540" s="5">
        <v>840725</v>
      </c>
      <c r="I540" s="5" t="s">
        <v>10</v>
      </c>
    </row>
    <row r="541" spans="1:9" x14ac:dyDescent="0.4">
      <c r="A541" s="14">
        <v>43831</v>
      </c>
      <c r="B541" s="5">
        <v>95803</v>
      </c>
      <c r="C541" s="5" t="s">
        <v>32</v>
      </c>
      <c r="D541" s="5">
        <v>798</v>
      </c>
      <c r="E541" s="5">
        <v>3</v>
      </c>
      <c r="F541" s="5">
        <v>2</v>
      </c>
      <c r="G541" s="14">
        <v>33679</v>
      </c>
      <c r="H541" s="5">
        <v>647937</v>
      </c>
      <c r="I541" s="5" t="s">
        <v>10</v>
      </c>
    </row>
    <row r="542" spans="1:9" x14ac:dyDescent="0.4">
      <c r="A542" s="14">
        <v>43862</v>
      </c>
      <c r="B542" s="5">
        <v>35698</v>
      </c>
      <c r="C542" s="5" t="s">
        <v>18</v>
      </c>
      <c r="D542" s="5">
        <v>710</v>
      </c>
      <c r="E542" s="5">
        <v>5</v>
      </c>
      <c r="F542" s="5">
        <v>7</v>
      </c>
      <c r="G542" s="14">
        <v>33139</v>
      </c>
      <c r="H542" s="5">
        <v>541460</v>
      </c>
      <c r="I542" s="5" t="s">
        <v>10</v>
      </c>
    </row>
    <row r="543" spans="1:9" x14ac:dyDescent="0.4">
      <c r="A543" s="14">
        <v>43906</v>
      </c>
      <c r="B543" s="5">
        <v>95503</v>
      </c>
      <c r="C543" s="5" t="s">
        <v>15</v>
      </c>
      <c r="D543" s="5">
        <v>743</v>
      </c>
      <c r="E543" s="5">
        <v>4</v>
      </c>
      <c r="F543" s="5">
        <v>4</v>
      </c>
      <c r="G543" s="14">
        <v>32428</v>
      </c>
      <c r="H543" s="5">
        <v>669353</v>
      </c>
      <c r="I543" s="5" t="s">
        <v>14</v>
      </c>
    </row>
    <row r="544" spans="1:9" x14ac:dyDescent="0.4">
      <c r="A544" s="14">
        <v>43870</v>
      </c>
      <c r="B544" s="5">
        <v>95921</v>
      </c>
      <c r="C544" s="5" t="s">
        <v>22</v>
      </c>
      <c r="D544" s="5">
        <v>797</v>
      </c>
      <c r="E544" s="5">
        <v>4</v>
      </c>
      <c r="F544" s="5">
        <v>1</v>
      </c>
      <c r="G544" s="14">
        <v>29611</v>
      </c>
      <c r="H544" s="5">
        <v>928644</v>
      </c>
      <c r="I544" s="5" t="s">
        <v>10</v>
      </c>
    </row>
    <row r="545" spans="1:9" x14ac:dyDescent="0.4">
      <c r="A545" s="14">
        <v>43992</v>
      </c>
      <c r="B545" s="5">
        <v>27632</v>
      </c>
      <c r="C545" s="5" t="s">
        <v>27</v>
      </c>
      <c r="D545" s="5">
        <v>800</v>
      </c>
      <c r="E545" s="5">
        <v>1</v>
      </c>
      <c r="F545" s="5">
        <v>8</v>
      </c>
      <c r="G545" s="14">
        <v>29933</v>
      </c>
      <c r="H545" s="5">
        <v>960902</v>
      </c>
      <c r="I545" s="5" t="s">
        <v>10</v>
      </c>
    </row>
    <row r="546" spans="1:9" x14ac:dyDescent="0.4">
      <c r="A546" s="14">
        <v>43852</v>
      </c>
      <c r="B546" s="5">
        <v>63842</v>
      </c>
      <c r="C546" s="5" t="s">
        <v>28</v>
      </c>
      <c r="D546" s="5">
        <v>797</v>
      </c>
      <c r="E546" s="5">
        <v>1</v>
      </c>
      <c r="F546" s="5">
        <v>4</v>
      </c>
      <c r="G546" s="14">
        <v>32026</v>
      </c>
      <c r="H546" s="5">
        <v>858604</v>
      </c>
      <c r="I546" s="5" t="s">
        <v>17</v>
      </c>
    </row>
    <row r="547" spans="1:9" x14ac:dyDescent="0.4">
      <c r="A547" s="14">
        <v>44114</v>
      </c>
      <c r="B547" s="5">
        <v>37460</v>
      </c>
      <c r="C547" s="5" t="s">
        <v>25</v>
      </c>
      <c r="D547" s="5">
        <v>781</v>
      </c>
      <c r="E547" s="5">
        <v>2</v>
      </c>
      <c r="F547" s="5">
        <v>1</v>
      </c>
      <c r="G547" s="14">
        <v>33687</v>
      </c>
      <c r="H547" s="5">
        <v>524070</v>
      </c>
      <c r="I547" s="5" t="s">
        <v>17</v>
      </c>
    </row>
    <row r="548" spans="1:9" x14ac:dyDescent="0.4">
      <c r="A548" s="14">
        <v>44112</v>
      </c>
      <c r="B548" s="5">
        <v>72882</v>
      </c>
      <c r="C548" s="5" t="s">
        <v>29</v>
      </c>
      <c r="D548" s="5">
        <v>736</v>
      </c>
      <c r="E548" s="5">
        <v>3</v>
      </c>
      <c r="F548" s="5">
        <v>6</v>
      </c>
      <c r="G548" s="14">
        <v>32666</v>
      </c>
      <c r="H548" s="5">
        <v>643486</v>
      </c>
      <c r="I548" s="5" t="s">
        <v>14</v>
      </c>
    </row>
    <row r="549" spans="1:9" x14ac:dyDescent="0.4">
      <c r="A549" s="14">
        <v>43945</v>
      </c>
      <c r="B549" s="5">
        <v>27544</v>
      </c>
      <c r="C549" s="5" t="s">
        <v>12</v>
      </c>
      <c r="D549" s="5">
        <v>715</v>
      </c>
      <c r="E549" s="5">
        <v>5</v>
      </c>
      <c r="F549" s="5">
        <v>8</v>
      </c>
      <c r="G549" s="14">
        <v>32345</v>
      </c>
      <c r="H549" s="5">
        <v>587547</v>
      </c>
      <c r="I549" s="5" t="s">
        <v>17</v>
      </c>
    </row>
    <row r="550" spans="1:9" x14ac:dyDescent="0.4">
      <c r="A550" s="14">
        <v>44023</v>
      </c>
      <c r="B550" s="5">
        <v>24343</v>
      </c>
      <c r="C550" s="5" t="s">
        <v>32</v>
      </c>
      <c r="D550" s="5">
        <v>767</v>
      </c>
      <c r="E550" s="5">
        <v>1</v>
      </c>
      <c r="F550" s="5">
        <v>3</v>
      </c>
      <c r="G550" s="14">
        <v>31758</v>
      </c>
      <c r="H550" s="5">
        <v>557672</v>
      </c>
      <c r="I550" s="5" t="s">
        <v>14</v>
      </c>
    </row>
    <row r="551" spans="1:9" x14ac:dyDescent="0.4">
      <c r="A551" s="14">
        <v>43915</v>
      </c>
      <c r="B551" s="5">
        <v>51730</v>
      </c>
      <c r="C551" s="5" t="s">
        <v>34</v>
      </c>
      <c r="D551" s="5">
        <v>787</v>
      </c>
      <c r="E551" s="5">
        <v>3</v>
      </c>
      <c r="F551" s="5">
        <v>10</v>
      </c>
      <c r="G551" s="14">
        <v>33434</v>
      </c>
      <c r="H551" s="5">
        <v>635431</v>
      </c>
      <c r="I551" s="5" t="s">
        <v>17</v>
      </c>
    </row>
    <row r="552" spans="1:9" x14ac:dyDescent="0.4">
      <c r="A552" s="14">
        <v>43995</v>
      </c>
      <c r="B552" s="5">
        <v>64295</v>
      </c>
      <c r="C552" s="5" t="s">
        <v>9</v>
      </c>
      <c r="D552" s="5">
        <v>788</v>
      </c>
      <c r="E552" s="5">
        <v>3</v>
      </c>
      <c r="F552" s="5">
        <v>8</v>
      </c>
      <c r="G552" s="14">
        <v>32236</v>
      </c>
      <c r="H552" s="5">
        <v>594694</v>
      </c>
      <c r="I552" s="5" t="s">
        <v>10</v>
      </c>
    </row>
    <row r="553" spans="1:9" x14ac:dyDescent="0.4">
      <c r="A553" s="14">
        <v>43836</v>
      </c>
      <c r="B553" s="5">
        <v>93731</v>
      </c>
      <c r="C553" s="5" t="s">
        <v>12</v>
      </c>
      <c r="D553" s="5">
        <v>725</v>
      </c>
      <c r="E553" s="5">
        <v>3</v>
      </c>
      <c r="F553" s="5">
        <v>8</v>
      </c>
      <c r="G553" s="14">
        <v>33565</v>
      </c>
      <c r="H553" s="5">
        <v>859247</v>
      </c>
      <c r="I553" s="5" t="s">
        <v>14</v>
      </c>
    </row>
    <row r="554" spans="1:9" x14ac:dyDescent="0.4">
      <c r="A554" s="14">
        <v>43910</v>
      </c>
      <c r="B554" s="5">
        <v>21875</v>
      </c>
      <c r="C554" s="5" t="s">
        <v>11</v>
      </c>
      <c r="D554" s="5">
        <v>721</v>
      </c>
      <c r="E554" s="5">
        <v>2</v>
      </c>
      <c r="F554" s="5">
        <v>6</v>
      </c>
      <c r="G554" s="14">
        <v>32395</v>
      </c>
      <c r="H554" s="5">
        <v>615686</v>
      </c>
      <c r="I554" s="5" t="s">
        <v>17</v>
      </c>
    </row>
    <row r="555" spans="1:9" x14ac:dyDescent="0.4">
      <c r="A555" s="14">
        <v>43991</v>
      </c>
      <c r="B555" s="5">
        <v>13640</v>
      </c>
      <c r="C555" s="5" t="s">
        <v>30</v>
      </c>
      <c r="D555" s="5">
        <v>717</v>
      </c>
      <c r="E555" s="5">
        <v>2</v>
      </c>
      <c r="F555" s="5">
        <v>1</v>
      </c>
      <c r="G555" s="14">
        <v>34678</v>
      </c>
      <c r="H555" s="5">
        <v>611218</v>
      </c>
      <c r="I555" s="5" t="s">
        <v>10</v>
      </c>
    </row>
    <row r="556" spans="1:9" x14ac:dyDescent="0.4">
      <c r="A556" s="14">
        <v>43884</v>
      </c>
      <c r="B556" s="5">
        <v>53720</v>
      </c>
      <c r="C556" s="5" t="s">
        <v>28</v>
      </c>
      <c r="D556" s="5">
        <v>764</v>
      </c>
      <c r="E556" s="5">
        <v>4</v>
      </c>
      <c r="F556" s="5">
        <v>7</v>
      </c>
      <c r="G556" s="14">
        <v>32733</v>
      </c>
      <c r="H556" s="5">
        <v>681585</v>
      </c>
      <c r="I556" s="5" t="s">
        <v>14</v>
      </c>
    </row>
    <row r="557" spans="1:9" x14ac:dyDescent="0.4">
      <c r="A557" s="14">
        <v>43876</v>
      </c>
      <c r="B557" s="5">
        <v>65888</v>
      </c>
      <c r="C557" s="5" t="s">
        <v>34</v>
      </c>
      <c r="D557" s="5">
        <v>767</v>
      </c>
      <c r="E557" s="5">
        <v>1</v>
      </c>
      <c r="F557" s="5">
        <v>1</v>
      </c>
      <c r="G557" s="14">
        <v>31998</v>
      </c>
      <c r="H557" s="5">
        <v>811827</v>
      </c>
      <c r="I557" s="5" t="s">
        <v>10</v>
      </c>
    </row>
    <row r="558" spans="1:9" x14ac:dyDescent="0.4">
      <c r="A558" s="14">
        <v>44044</v>
      </c>
      <c r="B558" s="5">
        <v>99843</v>
      </c>
      <c r="C558" s="5" t="s">
        <v>16</v>
      </c>
      <c r="D558" s="5">
        <v>769</v>
      </c>
      <c r="E558" s="5">
        <v>3</v>
      </c>
      <c r="F558" s="5">
        <v>5</v>
      </c>
      <c r="G558" s="14">
        <v>33480</v>
      </c>
      <c r="H558" s="5">
        <v>627334</v>
      </c>
      <c r="I558" s="5" t="s">
        <v>17</v>
      </c>
    </row>
    <row r="559" spans="1:9" x14ac:dyDescent="0.4">
      <c r="A559" s="14">
        <v>44096</v>
      </c>
      <c r="B559" s="5">
        <v>58228</v>
      </c>
      <c r="C559" s="5" t="s">
        <v>12</v>
      </c>
      <c r="D559" s="5">
        <v>747</v>
      </c>
      <c r="E559" s="5">
        <v>1</v>
      </c>
      <c r="F559" s="5">
        <v>1</v>
      </c>
      <c r="G559" s="14">
        <v>30105</v>
      </c>
      <c r="H559" s="5">
        <v>531446</v>
      </c>
      <c r="I559" s="5" t="s">
        <v>14</v>
      </c>
    </row>
    <row r="560" spans="1:9" x14ac:dyDescent="0.4">
      <c r="A560" s="14">
        <v>43943</v>
      </c>
      <c r="B560" s="5">
        <v>12596</v>
      </c>
      <c r="C560" s="5" t="s">
        <v>29</v>
      </c>
      <c r="D560" s="5">
        <v>702</v>
      </c>
      <c r="E560" s="5">
        <v>5</v>
      </c>
      <c r="F560" s="5">
        <v>7</v>
      </c>
      <c r="G560" s="14">
        <v>30567</v>
      </c>
      <c r="H560" s="5">
        <v>970614</v>
      </c>
      <c r="I560" s="5" t="s">
        <v>10</v>
      </c>
    </row>
    <row r="561" spans="1:9" x14ac:dyDescent="0.4">
      <c r="A561" s="14">
        <v>43967</v>
      </c>
      <c r="B561" s="5">
        <v>44415</v>
      </c>
      <c r="C561" s="5" t="s">
        <v>23</v>
      </c>
      <c r="D561" s="5">
        <v>738</v>
      </c>
      <c r="E561" s="5">
        <v>4</v>
      </c>
      <c r="F561" s="5">
        <v>10</v>
      </c>
      <c r="G561" s="14">
        <v>32718</v>
      </c>
      <c r="H561" s="5">
        <v>594754</v>
      </c>
      <c r="I561" s="5" t="s">
        <v>10</v>
      </c>
    </row>
    <row r="562" spans="1:9" x14ac:dyDescent="0.4">
      <c r="A562" s="14">
        <v>43891</v>
      </c>
      <c r="B562" s="5">
        <v>38783</v>
      </c>
      <c r="C562" s="5" t="s">
        <v>13</v>
      </c>
      <c r="D562" s="5">
        <v>760</v>
      </c>
      <c r="E562" s="5">
        <v>5</v>
      </c>
      <c r="F562" s="5">
        <v>6</v>
      </c>
      <c r="G562" s="14">
        <v>34418</v>
      </c>
      <c r="H562" s="5">
        <v>642147</v>
      </c>
      <c r="I562" s="5" t="s">
        <v>14</v>
      </c>
    </row>
    <row r="563" spans="1:9" x14ac:dyDescent="0.4">
      <c r="A563" s="14">
        <v>44025</v>
      </c>
      <c r="B563" s="5">
        <v>17643</v>
      </c>
      <c r="C563" s="5" t="s">
        <v>9</v>
      </c>
      <c r="D563" s="5">
        <v>781</v>
      </c>
      <c r="E563" s="5">
        <v>5</v>
      </c>
      <c r="F563" s="5">
        <v>6</v>
      </c>
      <c r="G563" s="14">
        <v>30673</v>
      </c>
      <c r="H563" s="5">
        <v>974246</v>
      </c>
      <c r="I563" s="5" t="s">
        <v>10</v>
      </c>
    </row>
    <row r="564" spans="1:9" x14ac:dyDescent="0.4">
      <c r="A564" s="14">
        <v>44107</v>
      </c>
      <c r="B564" s="5">
        <v>71821</v>
      </c>
      <c r="C564" s="5" t="s">
        <v>21</v>
      </c>
      <c r="D564" s="5">
        <v>702</v>
      </c>
      <c r="E564" s="5">
        <v>2</v>
      </c>
      <c r="F564" s="5">
        <v>2</v>
      </c>
      <c r="G564" s="14">
        <v>32393</v>
      </c>
      <c r="H564" s="5">
        <v>909939</v>
      </c>
      <c r="I564" s="5" t="s">
        <v>10</v>
      </c>
    </row>
    <row r="565" spans="1:9" x14ac:dyDescent="0.4">
      <c r="A565" s="14">
        <v>43873</v>
      </c>
      <c r="B565" s="5">
        <v>29417</v>
      </c>
      <c r="C565" s="5" t="s">
        <v>9</v>
      </c>
      <c r="D565" s="5">
        <v>787</v>
      </c>
      <c r="E565" s="5">
        <v>2</v>
      </c>
      <c r="F565" s="5">
        <v>4</v>
      </c>
      <c r="G565" s="14">
        <v>31063</v>
      </c>
      <c r="H565" s="5">
        <v>819203</v>
      </c>
      <c r="I565" s="5" t="s">
        <v>10</v>
      </c>
    </row>
    <row r="566" spans="1:9" x14ac:dyDescent="0.4">
      <c r="A566" s="14">
        <v>43996</v>
      </c>
      <c r="B566" s="5">
        <v>38894</v>
      </c>
      <c r="C566" s="5" t="s">
        <v>13</v>
      </c>
      <c r="D566" s="5">
        <v>741</v>
      </c>
      <c r="E566" s="5">
        <v>1</v>
      </c>
      <c r="F566" s="5">
        <v>6</v>
      </c>
      <c r="G566" s="14">
        <v>29328</v>
      </c>
      <c r="H566" s="5">
        <v>713677</v>
      </c>
      <c r="I566" s="5" t="s">
        <v>14</v>
      </c>
    </row>
    <row r="567" spans="1:9" x14ac:dyDescent="0.4">
      <c r="A567" s="14">
        <v>43848</v>
      </c>
      <c r="B567" s="5">
        <v>37736</v>
      </c>
      <c r="C567" s="5" t="s">
        <v>26</v>
      </c>
      <c r="D567" s="5">
        <v>749</v>
      </c>
      <c r="E567" s="5">
        <v>1</v>
      </c>
      <c r="F567" s="5">
        <v>2</v>
      </c>
      <c r="G567" s="14">
        <v>33649</v>
      </c>
      <c r="H567" s="5">
        <v>883224</v>
      </c>
      <c r="I567" s="5" t="s">
        <v>10</v>
      </c>
    </row>
    <row r="568" spans="1:9" x14ac:dyDescent="0.4">
      <c r="A568" s="14">
        <v>43901</v>
      </c>
      <c r="B568" s="5">
        <v>62788</v>
      </c>
      <c r="C568" s="5" t="s">
        <v>35</v>
      </c>
      <c r="D568" s="5">
        <v>705</v>
      </c>
      <c r="E568" s="5">
        <v>2</v>
      </c>
      <c r="F568" s="5">
        <v>1</v>
      </c>
      <c r="G568" s="14">
        <v>34471</v>
      </c>
      <c r="H568" s="5">
        <v>708228</v>
      </c>
      <c r="I568" s="5" t="s">
        <v>17</v>
      </c>
    </row>
    <row r="569" spans="1:9" x14ac:dyDescent="0.4">
      <c r="A569" s="14">
        <v>44021</v>
      </c>
      <c r="B569" s="5">
        <v>45530</v>
      </c>
      <c r="C569" s="5" t="s">
        <v>32</v>
      </c>
      <c r="D569" s="5">
        <v>721</v>
      </c>
      <c r="E569" s="5">
        <v>2</v>
      </c>
      <c r="F569" s="5">
        <v>9</v>
      </c>
      <c r="G569" s="14">
        <v>34533</v>
      </c>
      <c r="H569" s="5">
        <v>538884</v>
      </c>
      <c r="I569" s="5" t="s">
        <v>14</v>
      </c>
    </row>
    <row r="570" spans="1:9" x14ac:dyDescent="0.4">
      <c r="A570" s="14">
        <v>43870</v>
      </c>
      <c r="B570" s="5">
        <v>49134</v>
      </c>
      <c r="C570" s="5" t="s">
        <v>29</v>
      </c>
      <c r="D570" s="5">
        <v>706</v>
      </c>
      <c r="E570" s="5">
        <v>5</v>
      </c>
      <c r="F570" s="5">
        <v>10</v>
      </c>
      <c r="G570" s="14">
        <v>30094</v>
      </c>
      <c r="H570" s="5">
        <v>647064</v>
      </c>
      <c r="I570" s="5" t="s">
        <v>14</v>
      </c>
    </row>
    <row r="571" spans="1:9" x14ac:dyDescent="0.4">
      <c r="A571" s="14">
        <v>43913</v>
      </c>
      <c r="B571" s="5">
        <v>58795</v>
      </c>
      <c r="C571" s="5" t="s">
        <v>24</v>
      </c>
      <c r="D571" s="5">
        <v>712</v>
      </c>
      <c r="E571" s="5">
        <v>4</v>
      </c>
      <c r="F571" s="5">
        <v>10</v>
      </c>
      <c r="G571" s="14">
        <v>33668</v>
      </c>
      <c r="H571" s="5">
        <v>701101</v>
      </c>
      <c r="I571" s="5" t="s">
        <v>17</v>
      </c>
    </row>
    <row r="572" spans="1:9" x14ac:dyDescent="0.4">
      <c r="A572" s="14">
        <v>44098</v>
      </c>
      <c r="B572" s="5">
        <v>76612</v>
      </c>
      <c r="C572" s="5" t="s">
        <v>28</v>
      </c>
      <c r="D572" s="5">
        <v>791</v>
      </c>
      <c r="E572" s="5">
        <v>5</v>
      </c>
      <c r="F572" s="5">
        <v>4</v>
      </c>
      <c r="G572" s="14">
        <v>34251</v>
      </c>
      <c r="H572" s="5">
        <v>539739</v>
      </c>
      <c r="I572" s="5" t="s">
        <v>10</v>
      </c>
    </row>
    <row r="573" spans="1:9" x14ac:dyDescent="0.4">
      <c r="A573" s="14">
        <v>44138</v>
      </c>
      <c r="B573" s="5">
        <v>76168</v>
      </c>
      <c r="C573" s="5" t="s">
        <v>34</v>
      </c>
      <c r="D573" s="5">
        <v>721</v>
      </c>
      <c r="E573" s="5">
        <v>2</v>
      </c>
      <c r="F573" s="5">
        <v>10</v>
      </c>
      <c r="G573" s="14">
        <v>30145</v>
      </c>
      <c r="H573" s="5">
        <v>602910</v>
      </c>
      <c r="I573" s="5" t="s">
        <v>10</v>
      </c>
    </row>
    <row r="574" spans="1:9" x14ac:dyDescent="0.4">
      <c r="A574" s="14">
        <v>43844</v>
      </c>
      <c r="B574" s="5">
        <v>87652</v>
      </c>
      <c r="C574" s="5" t="s">
        <v>9</v>
      </c>
      <c r="D574" s="5">
        <v>784</v>
      </c>
      <c r="E574" s="5">
        <v>3</v>
      </c>
      <c r="F574" s="5">
        <v>9</v>
      </c>
      <c r="G574" s="14">
        <v>29645</v>
      </c>
      <c r="H574" s="5">
        <v>757408</v>
      </c>
      <c r="I574" s="5" t="s">
        <v>17</v>
      </c>
    </row>
    <row r="575" spans="1:9" x14ac:dyDescent="0.4">
      <c r="A575" s="14">
        <v>44022</v>
      </c>
      <c r="B575" s="5">
        <v>99257</v>
      </c>
      <c r="C575" s="5" t="s">
        <v>12</v>
      </c>
      <c r="D575" s="5">
        <v>793</v>
      </c>
      <c r="E575" s="5">
        <v>5</v>
      </c>
      <c r="F575" s="5">
        <v>1</v>
      </c>
      <c r="G575" s="14">
        <v>31212</v>
      </c>
      <c r="H575" s="5">
        <v>844155</v>
      </c>
      <c r="I575" s="5" t="s">
        <v>10</v>
      </c>
    </row>
    <row r="576" spans="1:9" x14ac:dyDescent="0.4">
      <c r="A576" s="14">
        <v>43843</v>
      </c>
      <c r="B576" s="5">
        <v>99595</v>
      </c>
      <c r="C576" s="5" t="s">
        <v>22</v>
      </c>
      <c r="D576" s="5">
        <v>725</v>
      </c>
      <c r="E576" s="5">
        <v>4</v>
      </c>
      <c r="F576" s="5">
        <v>8</v>
      </c>
      <c r="G576" s="14">
        <v>31295</v>
      </c>
      <c r="H576" s="5">
        <v>824832</v>
      </c>
      <c r="I576" s="5" t="s">
        <v>17</v>
      </c>
    </row>
    <row r="577" spans="1:9" x14ac:dyDescent="0.4">
      <c r="A577" s="14">
        <v>43927</v>
      </c>
      <c r="B577" s="5">
        <v>60673</v>
      </c>
      <c r="C577" s="5" t="s">
        <v>16</v>
      </c>
      <c r="D577" s="5">
        <v>781</v>
      </c>
      <c r="E577" s="5">
        <v>4</v>
      </c>
      <c r="F577" s="5">
        <v>10</v>
      </c>
      <c r="G577" s="14">
        <v>30532</v>
      </c>
      <c r="H577" s="5">
        <v>588374</v>
      </c>
      <c r="I577" s="5" t="s">
        <v>10</v>
      </c>
    </row>
    <row r="578" spans="1:9" x14ac:dyDescent="0.4">
      <c r="A578" s="14">
        <v>43997</v>
      </c>
      <c r="B578" s="5">
        <v>72892</v>
      </c>
      <c r="C578" s="5" t="s">
        <v>25</v>
      </c>
      <c r="D578" s="5">
        <v>789</v>
      </c>
      <c r="E578" s="5">
        <v>5</v>
      </c>
      <c r="F578" s="5">
        <v>4</v>
      </c>
      <c r="G578" s="14">
        <v>31416</v>
      </c>
      <c r="H578" s="5">
        <v>704543</v>
      </c>
      <c r="I578" s="5" t="s">
        <v>10</v>
      </c>
    </row>
    <row r="579" spans="1:9" x14ac:dyDescent="0.4">
      <c r="A579" s="14">
        <v>44105</v>
      </c>
      <c r="B579" s="5">
        <v>67365</v>
      </c>
      <c r="C579" s="5" t="s">
        <v>33</v>
      </c>
      <c r="D579" s="5">
        <v>758</v>
      </c>
      <c r="E579" s="5">
        <v>4</v>
      </c>
      <c r="F579" s="5">
        <v>8</v>
      </c>
      <c r="G579" s="14">
        <v>32071</v>
      </c>
      <c r="H579" s="5">
        <v>588396</v>
      </c>
      <c r="I579" s="5" t="s">
        <v>14</v>
      </c>
    </row>
    <row r="580" spans="1:9" x14ac:dyDescent="0.4">
      <c r="A580" s="14">
        <v>44161</v>
      </c>
      <c r="B580" s="5">
        <v>62523</v>
      </c>
      <c r="C580" s="5" t="s">
        <v>18</v>
      </c>
      <c r="D580" s="5">
        <v>738</v>
      </c>
      <c r="E580" s="5">
        <v>3</v>
      </c>
      <c r="F580" s="5">
        <v>1</v>
      </c>
      <c r="G580" s="14">
        <v>33233</v>
      </c>
      <c r="H580" s="5">
        <v>973676</v>
      </c>
      <c r="I580" s="5" t="s">
        <v>17</v>
      </c>
    </row>
    <row r="581" spans="1:9" x14ac:dyDescent="0.4">
      <c r="A581" s="14">
        <v>43958</v>
      </c>
      <c r="B581" s="5">
        <v>84606</v>
      </c>
      <c r="C581" s="5" t="s">
        <v>11</v>
      </c>
      <c r="D581" s="5">
        <v>706</v>
      </c>
      <c r="E581" s="5">
        <v>4</v>
      </c>
      <c r="F581" s="5">
        <v>7</v>
      </c>
      <c r="G581" s="14">
        <v>31111</v>
      </c>
      <c r="H581" s="5">
        <v>795220</v>
      </c>
      <c r="I581" s="5" t="s">
        <v>14</v>
      </c>
    </row>
    <row r="582" spans="1:9" x14ac:dyDescent="0.4">
      <c r="A582" s="14">
        <v>43902</v>
      </c>
      <c r="B582" s="5">
        <v>68072</v>
      </c>
      <c r="C582" s="5" t="s">
        <v>15</v>
      </c>
      <c r="D582" s="5">
        <v>783</v>
      </c>
      <c r="E582" s="5">
        <v>3</v>
      </c>
      <c r="F582" s="5">
        <v>1</v>
      </c>
      <c r="G582" s="14">
        <v>30629</v>
      </c>
      <c r="H582" s="5">
        <v>824247</v>
      </c>
      <c r="I582" s="5" t="s">
        <v>17</v>
      </c>
    </row>
    <row r="583" spans="1:9" x14ac:dyDescent="0.4">
      <c r="A583" s="14">
        <v>43881</v>
      </c>
      <c r="B583" s="5">
        <v>90908</v>
      </c>
      <c r="C583" s="5" t="s">
        <v>23</v>
      </c>
      <c r="D583" s="5">
        <v>774</v>
      </c>
      <c r="E583" s="5">
        <v>4</v>
      </c>
      <c r="F583" s="5">
        <v>2</v>
      </c>
      <c r="G583" s="14">
        <v>33428</v>
      </c>
      <c r="H583" s="5">
        <v>668860</v>
      </c>
      <c r="I583" s="5" t="s">
        <v>17</v>
      </c>
    </row>
    <row r="584" spans="1:9" x14ac:dyDescent="0.4">
      <c r="A584" s="14">
        <v>44092</v>
      </c>
      <c r="B584" s="5">
        <v>93314</v>
      </c>
      <c r="C584" s="5" t="s">
        <v>22</v>
      </c>
      <c r="D584" s="5">
        <v>709</v>
      </c>
      <c r="E584" s="5">
        <v>3</v>
      </c>
      <c r="F584" s="5">
        <v>7</v>
      </c>
      <c r="G584" s="14">
        <v>30753</v>
      </c>
      <c r="H584" s="5">
        <v>559191</v>
      </c>
      <c r="I584" s="5" t="s">
        <v>10</v>
      </c>
    </row>
    <row r="585" spans="1:9" x14ac:dyDescent="0.4">
      <c r="A585" s="14">
        <v>43868</v>
      </c>
      <c r="B585" s="5">
        <v>23446</v>
      </c>
      <c r="C585" s="5" t="s">
        <v>26</v>
      </c>
      <c r="D585" s="5">
        <v>728</v>
      </c>
      <c r="E585" s="5">
        <v>2</v>
      </c>
      <c r="F585" s="5">
        <v>6</v>
      </c>
      <c r="G585" s="14">
        <v>32503</v>
      </c>
      <c r="H585" s="5">
        <v>955694</v>
      </c>
      <c r="I585" s="5" t="s">
        <v>17</v>
      </c>
    </row>
    <row r="586" spans="1:9" x14ac:dyDescent="0.4">
      <c r="A586" s="14">
        <v>43992</v>
      </c>
      <c r="B586" s="5">
        <v>51340</v>
      </c>
      <c r="C586" s="5" t="s">
        <v>9</v>
      </c>
      <c r="D586" s="5">
        <v>791</v>
      </c>
      <c r="E586" s="5">
        <v>2</v>
      </c>
      <c r="F586" s="5">
        <v>4</v>
      </c>
      <c r="G586" s="14">
        <v>31658</v>
      </c>
      <c r="H586" s="5">
        <v>996288</v>
      </c>
      <c r="I586" s="5" t="s">
        <v>17</v>
      </c>
    </row>
    <row r="587" spans="1:9" x14ac:dyDescent="0.4">
      <c r="A587" s="14">
        <v>44173</v>
      </c>
      <c r="B587" s="5">
        <v>54415</v>
      </c>
      <c r="C587" s="5" t="s">
        <v>20</v>
      </c>
      <c r="D587" s="5">
        <v>768</v>
      </c>
      <c r="E587" s="5">
        <v>2</v>
      </c>
      <c r="F587" s="5">
        <v>6</v>
      </c>
      <c r="G587" s="14">
        <v>34618</v>
      </c>
      <c r="H587" s="5">
        <v>937051</v>
      </c>
      <c r="I587" s="5" t="s">
        <v>17</v>
      </c>
    </row>
    <row r="588" spans="1:9" x14ac:dyDescent="0.4">
      <c r="A588" s="14">
        <v>43960</v>
      </c>
      <c r="B588" s="5">
        <v>68804</v>
      </c>
      <c r="C588" s="5" t="s">
        <v>21</v>
      </c>
      <c r="D588" s="5">
        <v>728</v>
      </c>
      <c r="E588" s="5">
        <v>1</v>
      </c>
      <c r="F588" s="5">
        <v>9</v>
      </c>
      <c r="G588" s="14">
        <v>32178</v>
      </c>
      <c r="H588" s="5">
        <v>979646</v>
      </c>
      <c r="I588" s="5" t="s">
        <v>14</v>
      </c>
    </row>
    <row r="589" spans="1:9" x14ac:dyDescent="0.4">
      <c r="A589" s="14">
        <v>43968</v>
      </c>
      <c r="B589" s="5">
        <v>73497</v>
      </c>
      <c r="C589" s="5" t="s">
        <v>31</v>
      </c>
      <c r="D589" s="5">
        <v>701</v>
      </c>
      <c r="E589" s="5">
        <v>4</v>
      </c>
      <c r="F589" s="5">
        <v>6</v>
      </c>
      <c r="G589" s="14">
        <v>34413</v>
      </c>
      <c r="H589" s="5">
        <v>502276</v>
      </c>
      <c r="I589" s="5" t="s">
        <v>17</v>
      </c>
    </row>
    <row r="590" spans="1:9" x14ac:dyDescent="0.4">
      <c r="A590" s="14">
        <v>44149</v>
      </c>
      <c r="B590" s="5">
        <v>25084</v>
      </c>
      <c r="C590" s="5" t="s">
        <v>32</v>
      </c>
      <c r="D590" s="5">
        <v>710</v>
      </c>
      <c r="E590" s="5">
        <v>4</v>
      </c>
      <c r="F590" s="5">
        <v>8</v>
      </c>
      <c r="G590" s="14">
        <v>30320</v>
      </c>
      <c r="H590" s="5">
        <v>709198</v>
      </c>
      <c r="I590" s="5" t="s">
        <v>17</v>
      </c>
    </row>
    <row r="591" spans="1:9" x14ac:dyDescent="0.4">
      <c r="A591" s="14">
        <v>44106</v>
      </c>
      <c r="B591" s="5">
        <v>52248</v>
      </c>
      <c r="C591" s="5" t="s">
        <v>26</v>
      </c>
      <c r="D591" s="5">
        <v>718</v>
      </c>
      <c r="E591" s="5">
        <v>4</v>
      </c>
      <c r="F591" s="5">
        <v>10</v>
      </c>
      <c r="G591" s="14">
        <v>34667</v>
      </c>
      <c r="H591" s="5">
        <v>518945</v>
      </c>
      <c r="I591" s="5" t="s">
        <v>17</v>
      </c>
    </row>
    <row r="592" spans="1:9" x14ac:dyDescent="0.4">
      <c r="A592" s="14">
        <v>44087</v>
      </c>
      <c r="B592" s="5">
        <v>44776</v>
      </c>
      <c r="C592" s="5" t="s">
        <v>15</v>
      </c>
      <c r="D592" s="5">
        <v>760</v>
      </c>
      <c r="E592" s="5">
        <v>3</v>
      </c>
      <c r="F592" s="5">
        <v>2</v>
      </c>
      <c r="G592" s="14">
        <v>29326</v>
      </c>
      <c r="H592" s="5">
        <v>992207</v>
      </c>
      <c r="I592" s="5" t="s">
        <v>14</v>
      </c>
    </row>
    <row r="593" spans="1:9" x14ac:dyDescent="0.4">
      <c r="A593" s="14">
        <v>44082</v>
      </c>
      <c r="B593" s="5">
        <v>93333</v>
      </c>
      <c r="C593" s="5" t="s">
        <v>9</v>
      </c>
      <c r="D593" s="5">
        <v>724</v>
      </c>
      <c r="E593" s="5">
        <v>4</v>
      </c>
      <c r="F593" s="5">
        <v>2</v>
      </c>
      <c r="G593" s="14">
        <v>30988</v>
      </c>
      <c r="H593" s="5">
        <v>550209</v>
      </c>
      <c r="I593" s="5" t="s">
        <v>14</v>
      </c>
    </row>
    <row r="594" spans="1:9" x14ac:dyDescent="0.4">
      <c r="A594" s="14">
        <v>43946</v>
      </c>
      <c r="B594" s="5">
        <v>94017</v>
      </c>
      <c r="C594" s="5" t="s">
        <v>9</v>
      </c>
      <c r="D594" s="5">
        <v>772</v>
      </c>
      <c r="E594" s="5">
        <v>4</v>
      </c>
      <c r="F594" s="5">
        <v>1</v>
      </c>
      <c r="G594" s="14">
        <v>30723</v>
      </c>
      <c r="H594" s="5">
        <v>717167</v>
      </c>
      <c r="I594" s="5" t="s">
        <v>10</v>
      </c>
    </row>
    <row r="595" spans="1:9" x14ac:dyDescent="0.4">
      <c r="A595" s="14">
        <v>44091</v>
      </c>
      <c r="B595" s="5">
        <v>76777</v>
      </c>
      <c r="C595" s="5" t="s">
        <v>21</v>
      </c>
      <c r="D595" s="5">
        <v>747</v>
      </c>
      <c r="E595" s="5">
        <v>1</v>
      </c>
      <c r="F595" s="5">
        <v>6</v>
      </c>
      <c r="G595" s="14">
        <v>32584</v>
      </c>
      <c r="H595" s="5">
        <v>851702</v>
      </c>
      <c r="I595" s="5" t="s">
        <v>14</v>
      </c>
    </row>
    <row r="596" spans="1:9" x14ac:dyDescent="0.4">
      <c r="A596" s="14">
        <v>43886</v>
      </c>
      <c r="B596" s="5">
        <v>13962</v>
      </c>
      <c r="C596" s="5" t="s">
        <v>20</v>
      </c>
      <c r="D596" s="5">
        <v>728</v>
      </c>
      <c r="E596" s="5">
        <v>3</v>
      </c>
      <c r="F596" s="5">
        <v>1</v>
      </c>
      <c r="G596" s="14">
        <v>32212</v>
      </c>
      <c r="H596" s="5">
        <v>699753</v>
      </c>
      <c r="I596" s="5" t="s">
        <v>14</v>
      </c>
    </row>
    <row r="597" spans="1:9" x14ac:dyDescent="0.4">
      <c r="A597" s="14">
        <v>44156</v>
      </c>
      <c r="B597" s="5">
        <v>25311</v>
      </c>
      <c r="C597" s="5" t="s">
        <v>11</v>
      </c>
      <c r="D597" s="5">
        <v>748</v>
      </c>
      <c r="E597" s="5">
        <v>4</v>
      </c>
      <c r="F597" s="5">
        <v>3</v>
      </c>
      <c r="G597" s="14">
        <v>33562</v>
      </c>
      <c r="H597" s="5">
        <v>826757</v>
      </c>
      <c r="I597" s="5" t="s">
        <v>14</v>
      </c>
    </row>
    <row r="598" spans="1:9" x14ac:dyDescent="0.4">
      <c r="A598" s="14">
        <v>44038</v>
      </c>
      <c r="B598" s="5">
        <v>24638</v>
      </c>
      <c r="C598" s="5" t="s">
        <v>30</v>
      </c>
      <c r="D598" s="5">
        <v>779</v>
      </c>
      <c r="E598" s="5">
        <v>5</v>
      </c>
      <c r="F598" s="5">
        <v>7</v>
      </c>
      <c r="G598" s="14">
        <v>31765</v>
      </c>
      <c r="H598" s="5">
        <v>701070</v>
      </c>
      <c r="I598" s="5" t="s">
        <v>17</v>
      </c>
    </row>
    <row r="599" spans="1:9" x14ac:dyDescent="0.4">
      <c r="A599" s="14">
        <v>43990</v>
      </c>
      <c r="B599" s="5">
        <v>24920</v>
      </c>
      <c r="C599" s="5" t="s">
        <v>35</v>
      </c>
      <c r="D599" s="5">
        <v>778</v>
      </c>
      <c r="E599" s="5">
        <v>5</v>
      </c>
      <c r="F599" s="5">
        <v>8</v>
      </c>
      <c r="G599" s="14">
        <v>30912</v>
      </c>
      <c r="H599" s="5">
        <v>901164</v>
      </c>
      <c r="I599" s="5" t="s">
        <v>14</v>
      </c>
    </row>
    <row r="600" spans="1:9" x14ac:dyDescent="0.4">
      <c r="A600" s="14">
        <v>44172</v>
      </c>
      <c r="B600" s="5">
        <v>18601</v>
      </c>
      <c r="C600" s="5" t="s">
        <v>31</v>
      </c>
      <c r="D600" s="5">
        <v>702</v>
      </c>
      <c r="E600" s="5">
        <v>2</v>
      </c>
      <c r="F600" s="5">
        <v>8</v>
      </c>
      <c r="G600" s="14">
        <v>30827</v>
      </c>
      <c r="H600" s="5">
        <v>701342</v>
      </c>
      <c r="I600" s="5" t="s">
        <v>17</v>
      </c>
    </row>
    <row r="601" spans="1:9" x14ac:dyDescent="0.4">
      <c r="A601" s="14">
        <v>43922</v>
      </c>
      <c r="B601" s="5">
        <v>47369</v>
      </c>
      <c r="C601" s="5" t="s">
        <v>29</v>
      </c>
      <c r="D601" s="5">
        <v>748</v>
      </c>
      <c r="E601" s="5">
        <v>5</v>
      </c>
      <c r="F601" s="5">
        <v>9</v>
      </c>
      <c r="G601" s="14">
        <v>29909</v>
      </c>
      <c r="H601" s="5">
        <v>936650</v>
      </c>
      <c r="I601" s="5" t="s">
        <v>10</v>
      </c>
    </row>
    <row r="602" spans="1:9" x14ac:dyDescent="0.4">
      <c r="A602" s="14">
        <v>43948</v>
      </c>
      <c r="B602" s="5">
        <v>25737</v>
      </c>
      <c r="C602" s="5" t="s">
        <v>20</v>
      </c>
      <c r="D602" s="5">
        <v>732</v>
      </c>
      <c r="E602" s="5">
        <v>3</v>
      </c>
      <c r="F602" s="5">
        <v>9</v>
      </c>
      <c r="G602" s="14">
        <v>31564</v>
      </c>
      <c r="H602" s="5">
        <v>805788</v>
      </c>
      <c r="I602" s="5" t="s">
        <v>17</v>
      </c>
    </row>
    <row r="603" spans="1:9" x14ac:dyDescent="0.4">
      <c r="A603" s="14">
        <v>44062</v>
      </c>
      <c r="B603" s="5">
        <v>66512</v>
      </c>
      <c r="C603" s="5" t="s">
        <v>15</v>
      </c>
      <c r="D603" s="5">
        <v>721</v>
      </c>
      <c r="E603" s="5">
        <v>2</v>
      </c>
      <c r="F603" s="5">
        <v>1</v>
      </c>
      <c r="G603" s="14">
        <v>30731</v>
      </c>
      <c r="H603" s="5">
        <v>995024</v>
      </c>
      <c r="I603" s="5" t="s">
        <v>17</v>
      </c>
    </row>
    <row r="604" spans="1:9" x14ac:dyDescent="0.4">
      <c r="A604" s="14">
        <v>44011</v>
      </c>
      <c r="B604" s="5">
        <v>12037</v>
      </c>
      <c r="C604" s="5" t="s">
        <v>28</v>
      </c>
      <c r="D604" s="5">
        <v>775</v>
      </c>
      <c r="E604" s="5">
        <v>2</v>
      </c>
      <c r="F604" s="5">
        <v>8</v>
      </c>
      <c r="G604" s="14">
        <v>32869</v>
      </c>
      <c r="H604" s="5">
        <v>539159</v>
      </c>
      <c r="I604" s="5" t="s">
        <v>17</v>
      </c>
    </row>
    <row r="605" spans="1:9" x14ac:dyDescent="0.4">
      <c r="A605" s="14">
        <v>43940</v>
      </c>
      <c r="B605" s="5">
        <v>16734</v>
      </c>
      <c r="C605" s="5" t="s">
        <v>32</v>
      </c>
      <c r="D605" s="5">
        <v>706</v>
      </c>
      <c r="E605" s="5">
        <v>4</v>
      </c>
      <c r="F605" s="5">
        <v>4</v>
      </c>
      <c r="G605" s="14">
        <v>29514</v>
      </c>
      <c r="H605" s="5">
        <v>907385</v>
      </c>
      <c r="I605" s="5" t="s">
        <v>17</v>
      </c>
    </row>
    <row r="606" spans="1:9" x14ac:dyDescent="0.4">
      <c r="A606" s="14">
        <v>44048</v>
      </c>
      <c r="B606" s="5">
        <v>70828</v>
      </c>
      <c r="C606" s="5" t="s">
        <v>34</v>
      </c>
      <c r="D606" s="5">
        <v>780</v>
      </c>
      <c r="E606" s="5">
        <v>4</v>
      </c>
      <c r="F606" s="5">
        <v>10</v>
      </c>
      <c r="G606" s="14">
        <v>31727</v>
      </c>
      <c r="H606" s="5">
        <v>649264</v>
      </c>
      <c r="I606" s="5" t="s">
        <v>14</v>
      </c>
    </row>
    <row r="607" spans="1:9" x14ac:dyDescent="0.4">
      <c r="A607" s="14">
        <v>44153</v>
      </c>
      <c r="B607" s="5">
        <v>65304</v>
      </c>
      <c r="C607" s="5" t="s">
        <v>22</v>
      </c>
      <c r="D607" s="5">
        <v>721</v>
      </c>
      <c r="E607" s="5">
        <v>3</v>
      </c>
      <c r="F607" s="5">
        <v>6</v>
      </c>
      <c r="G607" s="14">
        <v>30461</v>
      </c>
      <c r="H607" s="5">
        <v>858624</v>
      </c>
      <c r="I607" s="5" t="s">
        <v>10</v>
      </c>
    </row>
    <row r="608" spans="1:9" x14ac:dyDescent="0.4">
      <c r="A608" s="14">
        <v>43995</v>
      </c>
      <c r="B608" s="5">
        <v>56750</v>
      </c>
      <c r="C608" s="5" t="s">
        <v>21</v>
      </c>
      <c r="D608" s="5">
        <v>717</v>
      </c>
      <c r="E608" s="5">
        <v>2</v>
      </c>
      <c r="F608" s="5">
        <v>1</v>
      </c>
      <c r="G608" s="14">
        <v>34397</v>
      </c>
      <c r="H608" s="5">
        <v>581915</v>
      </c>
      <c r="I608" s="5" t="s">
        <v>17</v>
      </c>
    </row>
    <row r="609" spans="1:9" x14ac:dyDescent="0.4">
      <c r="A609" s="14">
        <v>43978</v>
      </c>
      <c r="B609" s="5">
        <v>93695</v>
      </c>
      <c r="C609" s="5" t="s">
        <v>30</v>
      </c>
      <c r="D609" s="5">
        <v>742</v>
      </c>
      <c r="E609" s="5">
        <v>4</v>
      </c>
      <c r="F609" s="5">
        <v>2</v>
      </c>
      <c r="G609" s="14">
        <v>30237</v>
      </c>
      <c r="H609" s="5">
        <v>920501</v>
      </c>
      <c r="I609" s="5" t="s">
        <v>17</v>
      </c>
    </row>
    <row r="610" spans="1:9" x14ac:dyDescent="0.4">
      <c r="A610" s="14">
        <v>44151</v>
      </c>
      <c r="B610" s="5">
        <v>50920</v>
      </c>
      <c r="C610" s="5" t="s">
        <v>33</v>
      </c>
      <c r="D610" s="5">
        <v>707</v>
      </c>
      <c r="E610" s="5">
        <v>1</v>
      </c>
      <c r="F610" s="5">
        <v>5</v>
      </c>
      <c r="G610" s="14">
        <v>32811</v>
      </c>
      <c r="H610" s="5">
        <v>577254</v>
      </c>
      <c r="I610" s="5" t="s">
        <v>17</v>
      </c>
    </row>
    <row r="611" spans="1:9" x14ac:dyDescent="0.4">
      <c r="A611" s="14">
        <v>43956</v>
      </c>
      <c r="B611" s="5">
        <v>75985</v>
      </c>
      <c r="C611" s="5" t="s">
        <v>31</v>
      </c>
      <c r="D611" s="5">
        <v>754</v>
      </c>
      <c r="E611" s="5">
        <v>2</v>
      </c>
      <c r="F611" s="5">
        <v>7</v>
      </c>
      <c r="G611" s="14">
        <v>30947</v>
      </c>
      <c r="H611" s="5">
        <v>658749</v>
      </c>
      <c r="I611" s="5" t="s">
        <v>14</v>
      </c>
    </row>
    <row r="612" spans="1:9" x14ac:dyDescent="0.4">
      <c r="A612" s="14">
        <v>44171</v>
      </c>
      <c r="B612" s="5">
        <v>47600</v>
      </c>
      <c r="C612" s="5" t="s">
        <v>25</v>
      </c>
      <c r="D612" s="5">
        <v>786</v>
      </c>
      <c r="E612" s="5">
        <v>1</v>
      </c>
      <c r="F612" s="5">
        <v>3</v>
      </c>
      <c r="G612" s="14">
        <v>30565</v>
      </c>
      <c r="H612" s="5">
        <v>629181</v>
      </c>
      <c r="I612" s="5" t="s">
        <v>10</v>
      </c>
    </row>
    <row r="613" spans="1:9" x14ac:dyDescent="0.4">
      <c r="A613" s="14">
        <v>43953</v>
      </c>
      <c r="B613" s="5">
        <v>47831</v>
      </c>
      <c r="C613" s="5" t="s">
        <v>23</v>
      </c>
      <c r="D613" s="5">
        <v>701</v>
      </c>
      <c r="E613" s="5">
        <v>5</v>
      </c>
      <c r="F613" s="5">
        <v>5</v>
      </c>
      <c r="G613" s="14">
        <v>33500</v>
      </c>
      <c r="H613" s="5">
        <v>755674</v>
      </c>
      <c r="I613" s="5" t="s">
        <v>10</v>
      </c>
    </row>
    <row r="614" spans="1:9" x14ac:dyDescent="0.4">
      <c r="A614" s="14">
        <v>43896</v>
      </c>
      <c r="B614" s="5">
        <v>65776</v>
      </c>
      <c r="C614" s="5" t="s">
        <v>29</v>
      </c>
      <c r="D614" s="5">
        <v>777</v>
      </c>
      <c r="E614" s="5">
        <v>5</v>
      </c>
      <c r="F614" s="5">
        <v>5</v>
      </c>
      <c r="G614" s="14">
        <v>31269</v>
      </c>
      <c r="H614" s="5">
        <v>937733</v>
      </c>
      <c r="I614" s="5" t="s">
        <v>14</v>
      </c>
    </row>
    <row r="615" spans="1:9" x14ac:dyDescent="0.4">
      <c r="A615" s="14">
        <v>44004</v>
      </c>
      <c r="B615" s="5">
        <v>45142</v>
      </c>
      <c r="C615" s="5" t="s">
        <v>32</v>
      </c>
      <c r="D615" s="5">
        <v>730</v>
      </c>
      <c r="E615" s="5">
        <v>2</v>
      </c>
      <c r="F615" s="5">
        <v>4</v>
      </c>
      <c r="G615" s="14">
        <v>33986</v>
      </c>
      <c r="H615" s="5">
        <v>790012</v>
      </c>
      <c r="I615" s="5" t="s">
        <v>17</v>
      </c>
    </row>
    <row r="616" spans="1:9" x14ac:dyDescent="0.4">
      <c r="A616" s="14">
        <v>43980</v>
      </c>
      <c r="B616" s="5">
        <v>31489</v>
      </c>
      <c r="C616" s="5" t="s">
        <v>32</v>
      </c>
      <c r="D616" s="5">
        <v>735</v>
      </c>
      <c r="E616" s="5">
        <v>5</v>
      </c>
      <c r="F616" s="5">
        <v>1</v>
      </c>
      <c r="G616" s="14">
        <v>33605</v>
      </c>
      <c r="H616" s="5">
        <v>675858</v>
      </c>
      <c r="I616" s="5" t="s">
        <v>17</v>
      </c>
    </row>
    <row r="617" spans="1:9" x14ac:dyDescent="0.4">
      <c r="A617" s="14">
        <v>43974</v>
      </c>
      <c r="B617" s="5">
        <v>63373</v>
      </c>
      <c r="C617" s="5" t="s">
        <v>25</v>
      </c>
      <c r="D617" s="5">
        <v>702</v>
      </c>
      <c r="E617" s="5">
        <v>1</v>
      </c>
      <c r="F617" s="5">
        <v>2</v>
      </c>
      <c r="G617" s="14">
        <v>31148</v>
      </c>
      <c r="H617" s="5">
        <v>597273</v>
      </c>
      <c r="I617" s="5" t="s">
        <v>10</v>
      </c>
    </row>
    <row r="618" spans="1:9" x14ac:dyDescent="0.4">
      <c r="A618" s="14">
        <v>43947</v>
      </c>
      <c r="B618" s="5">
        <v>94111</v>
      </c>
      <c r="C618" s="5" t="s">
        <v>15</v>
      </c>
      <c r="D618" s="5">
        <v>794</v>
      </c>
      <c r="E618" s="5">
        <v>3</v>
      </c>
      <c r="F618" s="5">
        <v>2</v>
      </c>
      <c r="G618" s="14">
        <v>31152</v>
      </c>
      <c r="H618" s="5">
        <v>675347</v>
      </c>
      <c r="I618" s="5" t="s">
        <v>14</v>
      </c>
    </row>
    <row r="619" spans="1:9" x14ac:dyDescent="0.4">
      <c r="A619" s="14">
        <v>43990</v>
      </c>
      <c r="B619" s="5">
        <v>73017</v>
      </c>
      <c r="C619" s="5" t="s">
        <v>21</v>
      </c>
      <c r="D619" s="5">
        <v>702</v>
      </c>
      <c r="E619" s="5">
        <v>3</v>
      </c>
      <c r="F619" s="5">
        <v>6</v>
      </c>
      <c r="G619" s="14">
        <v>30967</v>
      </c>
      <c r="H619" s="5">
        <v>780960</v>
      </c>
      <c r="I619" s="5" t="s">
        <v>14</v>
      </c>
    </row>
    <row r="620" spans="1:9" x14ac:dyDescent="0.4">
      <c r="A620" s="14">
        <v>43928</v>
      </c>
      <c r="B620" s="5">
        <v>92852</v>
      </c>
      <c r="C620" s="5" t="s">
        <v>24</v>
      </c>
      <c r="D620" s="5">
        <v>701</v>
      </c>
      <c r="E620" s="5">
        <v>4</v>
      </c>
      <c r="F620" s="5">
        <v>1</v>
      </c>
      <c r="G620" s="14">
        <v>32475</v>
      </c>
      <c r="H620" s="5">
        <v>976983</v>
      </c>
      <c r="I620" s="5" t="s">
        <v>17</v>
      </c>
    </row>
    <row r="621" spans="1:9" x14ac:dyDescent="0.4">
      <c r="A621" s="14">
        <v>44027</v>
      </c>
      <c r="B621" s="5">
        <v>48555</v>
      </c>
      <c r="C621" s="5" t="s">
        <v>32</v>
      </c>
      <c r="D621" s="5">
        <v>727</v>
      </c>
      <c r="E621" s="5">
        <v>1</v>
      </c>
      <c r="F621" s="5">
        <v>1</v>
      </c>
      <c r="G621" s="14">
        <v>30308</v>
      </c>
      <c r="H621" s="5">
        <v>791998</v>
      </c>
      <c r="I621" s="5" t="s">
        <v>10</v>
      </c>
    </row>
    <row r="622" spans="1:9" x14ac:dyDescent="0.4">
      <c r="A622" s="14">
        <v>43947</v>
      </c>
      <c r="B622" s="5">
        <v>33025</v>
      </c>
      <c r="C622" s="5" t="s">
        <v>15</v>
      </c>
      <c r="D622" s="5">
        <v>720</v>
      </c>
      <c r="E622" s="5">
        <v>5</v>
      </c>
      <c r="F622" s="5">
        <v>5</v>
      </c>
      <c r="G622" s="14">
        <v>32810</v>
      </c>
      <c r="H622" s="5">
        <v>985846</v>
      </c>
      <c r="I622" s="5" t="s">
        <v>10</v>
      </c>
    </row>
    <row r="623" spans="1:9" x14ac:dyDescent="0.4">
      <c r="A623" s="14">
        <v>44086</v>
      </c>
      <c r="B623" s="5">
        <v>85377</v>
      </c>
      <c r="C623" s="5" t="s">
        <v>31</v>
      </c>
      <c r="D623" s="5">
        <v>794</v>
      </c>
      <c r="E623" s="5">
        <v>1</v>
      </c>
      <c r="F623" s="5">
        <v>1</v>
      </c>
      <c r="G623" s="14">
        <v>33474</v>
      </c>
      <c r="H623" s="5">
        <v>748644</v>
      </c>
      <c r="I623" s="5" t="s">
        <v>14</v>
      </c>
    </row>
    <row r="624" spans="1:9" x14ac:dyDescent="0.4">
      <c r="A624" s="14">
        <v>44098</v>
      </c>
      <c r="B624" s="5">
        <v>32109</v>
      </c>
      <c r="C624" s="5" t="s">
        <v>23</v>
      </c>
      <c r="D624" s="5">
        <v>756</v>
      </c>
      <c r="E624" s="5">
        <v>4</v>
      </c>
      <c r="F624" s="5">
        <v>6</v>
      </c>
      <c r="G624" s="14">
        <v>31233</v>
      </c>
      <c r="H624" s="5">
        <v>988754</v>
      </c>
      <c r="I624" s="5" t="s">
        <v>17</v>
      </c>
    </row>
    <row r="625" spans="1:9" x14ac:dyDescent="0.4">
      <c r="A625" s="14">
        <v>44115</v>
      </c>
      <c r="B625" s="5">
        <v>33024</v>
      </c>
      <c r="C625" s="5" t="s">
        <v>23</v>
      </c>
      <c r="D625" s="5">
        <v>759</v>
      </c>
      <c r="E625" s="5">
        <v>5</v>
      </c>
      <c r="F625" s="5">
        <v>3</v>
      </c>
      <c r="G625" s="14">
        <v>30948</v>
      </c>
      <c r="H625" s="5">
        <v>774185</v>
      </c>
      <c r="I625" s="5" t="s">
        <v>10</v>
      </c>
    </row>
    <row r="626" spans="1:9" x14ac:dyDescent="0.4">
      <c r="A626" s="14">
        <v>43964</v>
      </c>
      <c r="B626" s="5">
        <v>56492</v>
      </c>
      <c r="C626" s="5" t="s">
        <v>21</v>
      </c>
      <c r="D626" s="5">
        <v>738</v>
      </c>
      <c r="E626" s="5">
        <v>3</v>
      </c>
      <c r="F626" s="5">
        <v>7</v>
      </c>
      <c r="G626" s="14">
        <v>30684</v>
      </c>
      <c r="H626" s="5">
        <v>581204</v>
      </c>
      <c r="I626" s="5" t="s">
        <v>10</v>
      </c>
    </row>
    <row r="627" spans="1:9" x14ac:dyDescent="0.4">
      <c r="A627" s="14">
        <v>44082</v>
      </c>
      <c r="B627" s="5">
        <v>26996</v>
      </c>
      <c r="C627" s="5" t="s">
        <v>27</v>
      </c>
      <c r="D627" s="5">
        <v>743</v>
      </c>
      <c r="E627" s="5">
        <v>5</v>
      </c>
      <c r="F627" s="5">
        <v>7</v>
      </c>
      <c r="G627" s="14">
        <v>33264</v>
      </c>
      <c r="H627" s="5">
        <v>730063</v>
      </c>
      <c r="I627" s="5" t="s">
        <v>10</v>
      </c>
    </row>
    <row r="628" spans="1:9" x14ac:dyDescent="0.4">
      <c r="A628" s="14">
        <v>44072</v>
      </c>
      <c r="B628" s="5">
        <v>74602</v>
      </c>
      <c r="C628" s="5" t="s">
        <v>16</v>
      </c>
      <c r="D628" s="5">
        <v>749</v>
      </c>
      <c r="E628" s="5">
        <v>1</v>
      </c>
      <c r="F628" s="5">
        <v>8</v>
      </c>
      <c r="G628" s="14">
        <v>33164</v>
      </c>
      <c r="H628" s="5">
        <v>552345</v>
      </c>
      <c r="I628" s="5" t="s">
        <v>10</v>
      </c>
    </row>
    <row r="629" spans="1:9" x14ac:dyDescent="0.4">
      <c r="A629" s="14">
        <v>44069</v>
      </c>
      <c r="B629" s="5">
        <v>93694</v>
      </c>
      <c r="C629" s="5" t="s">
        <v>29</v>
      </c>
      <c r="D629" s="5">
        <v>745</v>
      </c>
      <c r="E629" s="5">
        <v>5</v>
      </c>
      <c r="F629" s="5">
        <v>10</v>
      </c>
      <c r="G629" s="14">
        <v>31783</v>
      </c>
      <c r="H629" s="5">
        <v>601147</v>
      </c>
      <c r="I629" s="5" t="s">
        <v>14</v>
      </c>
    </row>
    <row r="630" spans="1:9" x14ac:dyDescent="0.4">
      <c r="A630" s="14">
        <v>44121</v>
      </c>
      <c r="B630" s="5">
        <v>73290</v>
      </c>
      <c r="C630" s="5" t="s">
        <v>33</v>
      </c>
      <c r="D630" s="5">
        <v>701</v>
      </c>
      <c r="E630" s="5">
        <v>3</v>
      </c>
      <c r="F630" s="5">
        <v>4</v>
      </c>
      <c r="G630" s="14">
        <v>34005</v>
      </c>
      <c r="H630" s="5">
        <v>799929</v>
      </c>
      <c r="I630" s="5" t="s">
        <v>17</v>
      </c>
    </row>
    <row r="631" spans="1:9" x14ac:dyDescent="0.4">
      <c r="A631" s="14">
        <v>44107</v>
      </c>
      <c r="B631" s="5">
        <v>21126</v>
      </c>
      <c r="C631" s="5" t="s">
        <v>13</v>
      </c>
      <c r="D631" s="5">
        <v>788</v>
      </c>
      <c r="E631" s="5">
        <v>3</v>
      </c>
      <c r="F631" s="5">
        <v>9</v>
      </c>
      <c r="G631" s="14">
        <v>31485</v>
      </c>
      <c r="H631" s="5">
        <v>660011</v>
      </c>
      <c r="I631" s="5" t="s">
        <v>17</v>
      </c>
    </row>
    <row r="632" spans="1:9" x14ac:dyDescent="0.4">
      <c r="A632" s="14">
        <v>44004</v>
      </c>
      <c r="B632" s="5">
        <v>52113</v>
      </c>
      <c r="C632" s="5" t="s">
        <v>12</v>
      </c>
      <c r="D632" s="5">
        <v>797</v>
      </c>
      <c r="E632" s="5">
        <v>5</v>
      </c>
      <c r="F632" s="5">
        <v>3</v>
      </c>
      <c r="G632" s="14">
        <v>31768</v>
      </c>
      <c r="H632" s="5">
        <v>773951</v>
      </c>
      <c r="I632" s="5" t="s">
        <v>17</v>
      </c>
    </row>
    <row r="633" spans="1:9" x14ac:dyDescent="0.4">
      <c r="A633" s="14">
        <v>44111</v>
      </c>
      <c r="B633" s="5">
        <v>85030</v>
      </c>
      <c r="C633" s="5" t="s">
        <v>28</v>
      </c>
      <c r="D633" s="5">
        <v>791</v>
      </c>
      <c r="E633" s="5">
        <v>4</v>
      </c>
      <c r="F633" s="5">
        <v>8</v>
      </c>
      <c r="G633" s="14">
        <v>32462</v>
      </c>
      <c r="H633" s="5">
        <v>514612</v>
      </c>
      <c r="I633" s="5" t="s">
        <v>17</v>
      </c>
    </row>
    <row r="634" spans="1:9" x14ac:dyDescent="0.4">
      <c r="A634" s="14">
        <v>44113</v>
      </c>
      <c r="B634" s="5">
        <v>37637</v>
      </c>
      <c r="C634" s="5" t="s">
        <v>35</v>
      </c>
      <c r="D634" s="5">
        <v>704</v>
      </c>
      <c r="E634" s="5">
        <v>4</v>
      </c>
      <c r="F634" s="5">
        <v>10</v>
      </c>
      <c r="G634" s="14">
        <v>32077</v>
      </c>
      <c r="H634" s="5">
        <v>693106</v>
      </c>
      <c r="I634" s="5" t="s">
        <v>10</v>
      </c>
    </row>
    <row r="635" spans="1:9" x14ac:dyDescent="0.4">
      <c r="A635" s="14">
        <v>44059</v>
      </c>
      <c r="B635" s="5">
        <v>71901</v>
      </c>
      <c r="C635" s="5" t="s">
        <v>27</v>
      </c>
      <c r="D635" s="5">
        <v>786</v>
      </c>
      <c r="E635" s="5">
        <v>4</v>
      </c>
      <c r="F635" s="5">
        <v>6</v>
      </c>
      <c r="G635" s="14">
        <v>32064</v>
      </c>
      <c r="H635" s="5">
        <v>588495</v>
      </c>
      <c r="I635" s="5" t="s">
        <v>17</v>
      </c>
    </row>
    <row r="636" spans="1:9" x14ac:dyDescent="0.4">
      <c r="A636" s="14">
        <v>43882</v>
      </c>
      <c r="B636" s="5">
        <v>85468</v>
      </c>
      <c r="C636" s="5" t="s">
        <v>11</v>
      </c>
      <c r="D636" s="5">
        <v>749</v>
      </c>
      <c r="E636" s="5">
        <v>5</v>
      </c>
      <c r="F636" s="5">
        <v>6</v>
      </c>
      <c r="G636" s="14">
        <v>29814</v>
      </c>
      <c r="H636" s="5">
        <v>719399</v>
      </c>
      <c r="I636" s="5" t="s">
        <v>14</v>
      </c>
    </row>
    <row r="637" spans="1:9" x14ac:dyDescent="0.4">
      <c r="A637" s="14">
        <v>43877</v>
      </c>
      <c r="B637" s="5">
        <v>57336</v>
      </c>
      <c r="C637" s="5" t="s">
        <v>11</v>
      </c>
      <c r="D637" s="5">
        <v>779</v>
      </c>
      <c r="E637" s="5">
        <v>5</v>
      </c>
      <c r="F637" s="5">
        <v>10</v>
      </c>
      <c r="G637" s="14">
        <v>30184</v>
      </c>
      <c r="H637" s="5">
        <v>560702</v>
      </c>
      <c r="I637" s="5" t="s">
        <v>10</v>
      </c>
    </row>
    <row r="638" spans="1:9" x14ac:dyDescent="0.4">
      <c r="A638" s="14">
        <v>43912</v>
      </c>
      <c r="B638" s="5">
        <v>27308</v>
      </c>
      <c r="C638" s="5" t="s">
        <v>20</v>
      </c>
      <c r="D638" s="5">
        <v>752</v>
      </c>
      <c r="E638" s="5">
        <v>2</v>
      </c>
      <c r="F638" s="5">
        <v>5</v>
      </c>
      <c r="G638" s="14">
        <v>31426</v>
      </c>
      <c r="H638" s="5">
        <v>560996</v>
      </c>
      <c r="I638" s="5" t="s">
        <v>10</v>
      </c>
    </row>
    <row r="639" spans="1:9" x14ac:dyDescent="0.4">
      <c r="A639" s="14">
        <v>43988</v>
      </c>
      <c r="B639" s="5">
        <v>77929</v>
      </c>
      <c r="C639" s="5" t="s">
        <v>27</v>
      </c>
      <c r="D639" s="5">
        <v>721</v>
      </c>
      <c r="E639" s="5">
        <v>5</v>
      </c>
      <c r="F639" s="5">
        <v>3</v>
      </c>
      <c r="G639" s="14">
        <v>32041</v>
      </c>
      <c r="H639" s="5">
        <v>896645</v>
      </c>
      <c r="I639" s="5" t="s">
        <v>17</v>
      </c>
    </row>
    <row r="640" spans="1:9" x14ac:dyDescent="0.4">
      <c r="A640" s="14">
        <v>44137</v>
      </c>
      <c r="B640" s="5">
        <v>17824</v>
      </c>
      <c r="C640" s="5" t="s">
        <v>31</v>
      </c>
      <c r="D640" s="5">
        <v>781</v>
      </c>
      <c r="E640" s="5">
        <v>5</v>
      </c>
      <c r="F640" s="5">
        <v>4</v>
      </c>
      <c r="G640" s="14">
        <v>30462</v>
      </c>
      <c r="H640" s="5">
        <v>745179</v>
      </c>
      <c r="I640" s="5" t="s">
        <v>17</v>
      </c>
    </row>
    <row r="641" spans="1:9" x14ac:dyDescent="0.4">
      <c r="A641" s="14">
        <v>43922</v>
      </c>
      <c r="B641" s="5">
        <v>16626</v>
      </c>
      <c r="C641" s="5" t="s">
        <v>34</v>
      </c>
      <c r="D641" s="5">
        <v>711</v>
      </c>
      <c r="E641" s="5">
        <v>3</v>
      </c>
      <c r="F641" s="5">
        <v>4</v>
      </c>
      <c r="G641" s="14">
        <v>31321</v>
      </c>
      <c r="H641" s="5">
        <v>566242</v>
      </c>
      <c r="I641" s="5" t="s">
        <v>14</v>
      </c>
    </row>
    <row r="642" spans="1:9" x14ac:dyDescent="0.4">
      <c r="A642" s="14">
        <v>44141</v>
      </c>
      <c r="B642" s="5">
        <v>23341</v>
      </c>
      <c r="C642" s="5" t="s">
        <v>33</v>
      </c>
      <c r="D642" s="5">
        <v>723</v>
      </c>
      <c r="E642" s="5">
        <v>5</v>
      </c>
      <c r="F642" s="5">
        <v>7</v>
      </c>
      <c r="G642" s="14">
        <v>31268</v>
      </c>
      <c r="H642" s="5">
        <v>566764</v>
      </c>
      <c r="I642" s="5" t="s">
        <v>14</v>
      </c>
    </row>
    <row r="643" spans="1:9" x14ac:dyDescent="0.4">
      <c r="A643" s="14">
        <v>44050</v>
      </c>
      <c r="B643" s="5">
        <v>65397</v>
      </c>
      <c r="C643" s="5" t="s">
        <v>9</v>
      </c>
      <c r="D643" s="5">
        <v>767</v>
      </c>
      <c r="E643" s="5">
        <v>4</v>
      </c>
      <c r="F643" s="5">
        <v>1</v>
      </c>
      <c r="G643" s="14">
        <v>30148</v>
      </c>
      <c r="H643" s="5">
        <v>975822</v>
      </c>
      <c r="I643" s="5" t="s">
        <v>10</v>
      </c>
    </row>
    <row r="644" spans="1:9" x14ac:dyDescent="0.4">
      <c r="A644" s="14">
        <v>44143</v>
      </c>
      <c r="B644" s="5">
        <v>54400</v>
      </c>
      <c r="C644" s="5" t="s">
        <v>9</v>
      </c>
      <c r="D644" s="5">
        <v>754</v>
      </c>
      <c r="E644" s="5">
        <v>1</v>
      </c>
      <c r="F644" s="5">
        <v>10</v>
      </c>
      <c r="G644" s="14">
        <v>30780</v>
      </c>
      <c r="H644" s="5">
        <v>675139</v>
      </c>
      <c r="I644" s="5" t="s">
        <v>17</v>
      </c>
    </row>
    <row r="645" spans="1:9" x14ac:dyDescent="0.4">
      <c r="A645" s="14">
        <v>43949</v>
      </c>
      <c r="B645" s="5">
        <v>88756</v>
      </c>
      <c r="C645" s="5" t="s">
        <v>35</v>
      </c>
      <c r="D645" s="5">
        <v>782</v>
      </c>
      <c r="E645" s="5">
        <v>1</v>
      </c>
      <c r="F645" s="5">
        <v>5</v>
      </c>
      <c r="G645" s="14">
        <v>34231</v>
      </c>
      <c r="H645" s="5">
        <v>812143</v>
      </c>
      <c r="I645" s="5" t="s">
        <v>14</v>
      </c>
    </row>
    <row r="646" spans="1:9" x14ac:dyDescent="0.4">
      <c r="A646" s="14">
        <v>44150</v>
      </c>
      <c r="B646" s="5">
        <v>13872</v>
      </c>
      <c r="C646" s="5" t="s">
        <v>22</v>
      </c>
      <c r="D646" s="5">
        <v>749</v>
      </c>
      <c r="E646" s="5">
        <v>4</v>
      </c>
      <c r="F646" s="5">
        <v>9</v>
      </c>
      <c r="G646" s="14">
        <v>29633</v>
      </c>
      <c r="H646" s="5">
        <v>513168</v>
      </c>
      <c r="I646" s="5" t="s">
        <v>14</v>
      </c>
    </row>
    <row r="647" spans="1:9" x14ac:dyDescent="0.4">
      <c r="A647" s="14">
        <v>43887</v>
      </c>
      <c r="B647" s="5">
        <v>67423</v>
      </c>
      <c r="C647" s="5" t="s">
        <v>32</v>
      </c>
      <c r="D647" s="5">
        <v>707</v>
      </c>
      <c r="E647" s="5">
        <v>2</v>
      </c>
      <c r="F647" s="5">
        <v>6</v>
      </c>
      <c r="G647" s="14">
        <v>34551</v>
      </c>
      <c r="H647" s="5">
        <v>651523</v>
      </c>
      <c r="I647" s="5" t="s">
        <v>10</v>
      </c>
    </row>
    <row r="648" spans="1:9" x14ac:dyDescent="0.4">
      <c r="A648" s="14">
        <v>43925</v>
      </c>
      <c r="B648" s="5">
        <v>22986</v>
      </c>
      <c r="C648" s="5" t="s">
        <v>31</v>
      </c>
      <c r="D648" s="5">
        <v>773</v>
      </c>
      <c r="E648" s="5">
        <v>1</v>
      </c>
      <c r="F648" s="5">
        <v>6</v>
      </c>
      <c r="G648" s="14">
        <v>33059</v>
      </c>
      <c r="H648" s="5">
        <v>958742</v>
      </c>
      <c r="I648" s="5" t="s">
        <v>14</v>
      </c>
    </row>
    <row r="649" spans="1:9" x14ac:dyDescent="0.4">
      <c r="A649" s="14">
        <v>43834</v>
      </c>
      <c r="B649" s="5">
        <v>93329</v>
      </c>
      <c r="C649" s="5" t="s">
        <v>20</v>
      </c>
      <c r="D649" s="5">
        <v>780</v>
      </c>
      <c r="E649" s="5">
        <v>5</v>
      </c>
      <c r="F649" s="5">
        <v>2</v>
      </c>
      <c r="G649" s="14">
        <v>29374</v>
      </c>
      <c r="H649" s="5">
        <v>501611</v>
      </c>
      <c r="I649" s="5" t="s">
        <v>10</v>
      </c>
    </row>
    <row r="650" spans="1:9" x14ac:dyDescent="0.4">
      <c r="A650" s="14">
        <v>43975</v>
      </c>
      <c r="B650" s="5">
        <v>32818</v>
      </c>
      <c r="C650" s="5" t="s">
        <v>13</v>
      </c>
      <c r="D650" s="5">
        <v>721</v>
      </c>
      <c r="E650" s="5">
        <v>4</v>
      </c>
      <c r="F650" s="5">
        <v>8</v>
      </c>
      <c r="G650" s="14">
        <v>33236</v>
      </c>
      <c r="H650" s="5">
        <v>913989</v>
      </c>
      <c r="I650" s="5" t="s">
        <v>10</v>
      </c>
    </row>
    <row r="651" spans="1:9" x14ac:dyDescent="0.4">
      <c r="A651" s="14">
        <v>44076</v>
      </c>
      <c r="B651" s="5">
        <v>68286</v>
      </c>
      <c r="C651" s="5" t="s">
        <v>30</v>
      </c>
      <c r="D651" s="5">
        <v>782</v>
      </c>
      <c r="E651" s="5">
        <v>5</v>
      </c>
      <c r="F651" s="5">
        <v>9</v>
      </c>
      <c r="G651" s="14">
        <v>30003</v>
      </c>
      <c r="H651" s="5">
        <v>860088</v>
      </c>
      <c r="I651" s="5" t="s">
        <v>10</v>
      </c>
    </row>
    <row r="652" spans="1:9" x14ac:dyDescent="0.4">
      <c r="A652" s="14">
        <v>43831</v>
      </c>
      <c r="B652" s="5">
        <v>81971</v>
      </c>
      <c r="C652" s="5" t="s">
        <v>32</v>
      </c>
      <c r="D652" s="5">
        <v>737</v>
      </c>
      <c r="E652" s="5">
        <v>2</v>
      </c>
      <c r="F652" s="5">
        <v>8</v>
      </c>
      <c r="G652" s="14">
        <v>31607</v>
      </c>
      <c r="H652" s="5">
        <v>949805</v>
      </c>
      <c r="I652" s="5" t="s">
        <v>14</v>
      </c>
    </row>
    <row r="653" spans="1:9" x14ac:dyDescent="0.4">
      <c r="A653" s="14">
        <v>43911</v>
      </c>
      <c r="B653" s="5">
        <v>20146</v>
      </c>
      <c r="C653" s="5" t="s">
        <v>24</v>
      </c>
      <c r="D653" s="5">
        <v>775</v>
      </c>
      <c r="E653" s="5">
        <v>4</v>
      </c>
      <c r="F653" s="5">
        <v>7</v>
      </c>
      <c r="G653" s="14">
        <v>31063</v>
      </c>
      <c r="H653" s="5">
        <v>956480</v>
      </c>
      <c r="I653" s="5" t="s">
        <v>14</v>
      </c>
    </row>
    <row r="654" spans="1:9" x14ac:dyDescent="0.4">
      <c r="A654" s="14">
        <v>43953</v>
      </c>
      <c r="B654" s="5">
        <v>63506</v>
      </c>
      <c r="C654" s="5" t="s">
        <v>29</v>
      </c>
      <c r="D654" s="5">
        <v>705</v>
      </c>
      <c r="E654" s="5">
        <v>4</v>
      </c>
      <c r="F654" s="5">
        <v>9</v>
      </c>
      <c r="G654" s="14">
        <v>31972</v>
      </c>
      <c r="H654" s="5">
        <v>981173</v>
      </c>
      <c r="I654" s="5" t="s">
        <v>17</v>
      </c>
    </row>
    <row r="655" spans="1:9" x14ac:dyDescent="0.4">
      <c r="A655" s="14">
        <v>43852</v>
      </c>
      <c r="B655" s="5">
        <v>45428</v>
      </c>
      <c r="C655" s="5" t="s">
        <v>35</v>
      </c>
      <c r="D655" s="5">
        <v>782</v>
      </c>
      <c r="E655" s="5">
        <v>5</v>
      </c>
      <c r="F655" s="5">
        <v>3</v>
      </c>
      <c r="G655" s="14">
        <v>30056</v>
      </c>
      <c r="H655" s="5">
        <v>616349</v>
      </c>
      <c r="I655" s="5" t="s">
        <v>10</v>
      </c>
    </row>
    <row r="656" spans="1:9" x14ac:dyDescent="0.4">
      <c r="A656" s="14">
        <v>44060</v>
      </c>
      <c r="B656" s="5">
        <v>86462</v>
      </c>
      <c r="C656" s="5" t="s">
        <v>21</v>
      </c>
      <c r="D656" s="5">
        <v>701</v>
      </c>
      <c r="E656" s="5">
        <v>1</v>
      </c>
      <c r="F656" s="5">
        <v>8</v>
      </c>
      <c r="G656" s="14">
        <v>31979</v>
      </c>
      <c r="H656" s="5">
        <v>916244</v>
      </c>
      <c r="I656" s="5" t="s">
        <v>14</v>
      </c>
    </row>
    <row r="657" spans="1:9" x14ac:dyDescent="0.4">
      <c r="A657" s="14">
        <v>43910</v>
      </c>
      <c r="B657" s="5">
        <v>30763</v>
      </c>
      <c r="C657" s="5" t="s">
        <v>16</v>
      </c>
      <c r="D657" s="5">
        <v>747</v>
      </c>
      <c r="E657" s="5">
        <v>2</v>
      </c>
      <c r="F657" s="5">
        <v>2</v>
      </c>
      <c r="G657" s="14">
        <v>34082</v>
      </c>
      <c r="H657" s="5">
        <v>865981</v>
      </c>
      <c r="I657" s="5" t="s">
        <v>10</v>
      </c>
    </row>
    <row r="658" spans="1:9" x14ac:dyDescent="0.4">
      <c r="A658" s="14">
        <v>44147</v>
      </c>
      <c r="B658" s="5">
        <v>10594</v>
      </c>
      <c r="C658" s="5" t="s">
        <v>16</v>
      </c>
      <c r="D658" s="5">
        <v>764</v>
      </c>
      <c r="E658" s="5">
        <v>4</v>
      </c>
      <c r="F658" s="5">
        <v>10</v>
      </c>
      <c r="G658" s="14">
        <v>31129</v>
      </c>
      <c r="H658" s="5">
        <v>605195</v>
      </c>
      <c r="I658" s="5" t="s">
        <v>14</v>
      </c>
    </row>
    <row r="659" spans="1:9" x14ac:dyDescent="0.4">
      <c r="A659" s="14">
        <v>43953</v>
      </c>
      <c r="B659" s="5">
        <v>37893</v>
      </c>
      <c r="C659" s="5" t="s">
        <v>31</v>
      </c>
      <c r="D659" s="5">
        <v>780</v>
      </c>
      <c r="E659" s="5">
        <v>5</v>
      </c>
      <c r="F659" s="5">
        <v>9</v>
      </c>
      <c r="G659" s="14">
        <v>34290</v>
      </c>
      <c r="H659" s="5">
        <v>544939</v>
      </c>
      <c r="I659" s="5" t="s">
        <v>17</v>
      </c>
    </row>
    <row r="660" spans="1:9" x14ac:dyDescent="0.4">
      <c r="A660" s="14">
        <v>43842</v>
      </c>
      <c r="B660" s="5">
        <v>35349</v>
      </c>
      <c r="C660" s="5" t="s">
        <v>33</v>
      </c>
      <c r="D660" s="5">
        <v>785</v>
      </c>
      <c r="E660" s="5">
        <v>1</v>
      </c>
      <c r="F660" s="5">
        <v>5</v>
      </c>
      <c r="G660" s="14">
        <v>31091</v>
      </c>
      <c r="H660" s="5">
        <v>908893</v>
      </c>
      <c r="I660" s="5" t="s">
        <v>17</v>
      </c>
    </row>
    <row r="661" spans="1:9" x14ac:dyDescent="0.4">
      <c r="A661" s="14">
        <v>43965</v>
      </c>
      <c r="B661" s="5">
        <v>50662</v>
      </c>
      <c r="C661" s="5" t="s">
        <v>13</v>
      </c>
      <c r="D661" s="5">
        <v>756</v>
      </c>
      <c r="E661" s="5">
        <v>4</v>
      </c>
      <c r="F661" s="5">
        <v>5</v>
      </c>
      <c r="G661" s="14">
        <v>33784</v>
      </c>
      <c r="H661" s="5">
        <v>727711</v>
      </c>
      <c r="I661" s="5" t="s">
        <v>14</v>
      </c>
    </row>
    <row r="662" spans="1:9" x14ac:dyDescent="0.4">
      <c r="A662" s="14">
        <v>44020</v>
      </c>
      <c r="B662" s="5">
        <v>60718</v>
      </c>
      <c r="C662" s="5" t="s">
        <v>29</v>
      </c>
      <c r="D662" s="5">
        <v>704</v>
      </c>
      <c r="E662" s="5">
        <v>2</v>
      </c>
      <c r="F662" s="5">
        <v>3</v>
      </c>
      <c r="G662" s="14">
        <v>34493</v>
      </c>
      <c r="H662" s="5">
        <v>742117</v>
      </c>
      <c r="I662" s="5" t="s">
        <v>10</v>
      </c>
    </row>
    <row r="663" spans="1:9" x14ac:dyDescent="0.4">
      <c r="A663" s="14">
        <v>44010</v>
      </c>
      <c r="B663" s="5">
        <v>94341</v>
      </c>
      <c r="C663" s="5" t="s">
        <v>25</v>
      </c>
      <c r="D663" s="5">
        <v>747</v>
      </c>
      <c r="E663" s="5">
        <v>2</v>
      </c>
      <c r="F663" s="5">
        <v>10</v>
      </c>
      <c r="G663" s="14">
        <v>29738</v>
      </c>
      <c r="H663" s="5">
        <v>980054</v>
      </c>
      <c r="I663" s="5" t="s">
        <v>17</v>
      </c>
    </row>
    <row r="664" spans="1:9" x14ac:dyDescent="0.4">
      <c r="A664" s="14">
        <v>43904</v>
      </c>
      <c r="B664" s="5">
        <v>69843</v>
      </c>
      <c r="C664" s="5" t="s">
        <v>22</v>
      </c>
      <c r="D664" s="5">
        <v>704</v>
      </c>
      <c r="E664" s="5">
        <v>2</v>
      </c>
      <c r="F664" s="5">
        <v>1</v>
      </c>
      <c r="G664" s="14">
        <v>30485</v>
      </c>
      <c r="H664" s="5">
        <v>564431</v>
      </c>
      <c r="I664" s="5" t="s">
        <v>10</v>
      </c>
    </row>
    <row r="665" spans="1:9" x14ac:dyDescent="0.4">
      <c r="A665" s="14">
        <v>43934</v>
      </c>
      <c r="B665" s="5">
        <v>16301</v>
      </c>
      <c r="C665" s="5" t="s">
        <v>18</v>
      </c>
      <c r="D665" s="5">
        <v>754</v>
      </c>
      <c r="E665" s="5">
        <v>2</v>
      </c>
      <c r="F665" s="5">
        <v>10</v>
      </c>
      <c r="G665" s="14">
        <v>31004</v>
      </c>
      <c r="H665" s="5">
        <v>510077</v>
      </c>
      <c r="I665" s="5" t="s">
        <v>14</v>
      </c>
    </row>
    <row r="666" spans="1:9" x14ac:dyDescent="0.4">
      <c r="A666" s="14">
        <v>44110</v>
      </c>
      <c r="B666" s="5">
        <v>36271</v>
      </c>
      <c r="C666" s="5" t="s">
        <v>25</v>
      </c>
      <c r="D666" s="5">
        <v>783</v>
      </c>
      <c r="E666" s="5">
        <v>3</v>
      </c>
      <c r="F666" s="5">
        <v>1</v>
      </c>
      <c r="G666" s="14">
        <v>32140</v>
      </c>
      <c r="H666" s="5">
        <v>763053</v>
      </c>
      <c r="I666" s="5" t="s">
        <v>10</v>
      </c>
    </row>
    <row r="667" spans="1:9" x14ac:dyDescent="0.4">
      <c r="A667" s="14">
        <v>43965</v>
      </c>
      <c r="B667" s="5">
        <v>52014</v>
      </c>
      <c r="C667" s="5" t="s">
        <v>9</v>
      </c>
      <c r="D667" s="5">
        <v>769</v>
      </c>
      <c r="E667" s="5">
        <v>2</v>
      </c>
      <c r="F667" s="5">
        <v>8</v>
      </c>
      <c r="G667" s="14">
        <v>32920</v>
      </c>
      <c r="H667" s="5">
        <v>697289</v>
      </c>
      <c r="I667" s="5" t="s">
        <v>17</v>
      </c>
    </row>
    <row r="668" spans="1:9" x14ac:dyDescent="0.4">
      <c r="A668" s="14">
        <v>44033</v>
      </c>
      <c r="B668" s="5">
        <v>40231</v>
      </c>
      <c r="C668" s="5" t="s">
        <v>30</v>
      </c>
      <c r="D668" s="5">
        <v>727</v>
      </c>
      <c r="E668" s="5">
        <v>1</v>
      </c>
      <c r="F668" s="5">
        <v>2</v>
      </c>
      <c r="G668" s="14">
        <v>30549</v>
      </c>
      <c r="H668" s="5">
        <v>926458</v>
      </c>
      <c r="I668" s="5" t="s">
        <v>10</v>
      </c>
    </row>
    <row r="669" spans="1:9" x14ac:dyDescent="0.4">
      <c r="A669" s="14">
        <v>44130</v>
      </c>
      <c r="B669" s="5">
        <v>90401</v>
      </c>
      <c r="C669" s="5" t="s">
        <v>28</v>
      </c>
      <c r="D669" s="5">
        <v>788</v>
      </c>
      <c r="E669" s="5">
        <v>4</v>
      </c>
      <c r="F669" s="5">
        <v>4</v>
      </c>
      <c r="G669" s="14">
        <v>34111</v>
      </c>
      <c r="H669" s="5">
        <v>541072</v>
      </c>
      <c r="I669" s="5" t="s">
        <v>14</v>
      </c>
    </row>
    <row r="670" spans="1:9" x14ac:dyDescent="0.4">
      <c r="A670" s="14">
        <v>43899</v>
      </c>
      <c r="B670" s="5">
        <v>45815</v>
      </c>
      <c r="C670" s="5" t="s">
        <v>26</v>
      </c>
      <c r="D670" s="5">
        <v>766</v>
      </c>
      <c r="E670" s="5">
        <v>4</v>
      </c>
      <c r="F670" s="5">
        <v>3</v>
      </c>
      <c r="G670" s="14">
        <v>31747</v>
      </c>
      <c r="H670" s="5">
        <v>929726</v>
      </c>
      <c r="I670" s="5" t="s">
        <v>17</v>
      </c>
    </row>
    <row r="671" spans="1:9" x14ac:dyDescent="0.4">
      <c r="A671" s="14">
        <v>44035</v>
      </c>
      <c r="B671" s="5">
        <v>98390</v>
      </c>
      <c r="C671" s="5" t="s">
        <v>20</v>
      </c>
      <c r="D671" s="5">
        <v>752</v>
      </c>
      <c r="E671" s="5">
        <v>2</v>
      </c>
      <c r="F671" s="5">
        <v>5</v>
      </c>
      <c r="G671" s="14">
        <v>29835</v>
      </c>
      <c r="H671" s="5">
        <v>570686</v>
      </c>
      <c r="I671" s="5" t="s">
        <v>17</v>
      </c>
    </row>
    <row r="672" spans="1:9" x14ac:dyDescent="0.4">
      <c r="A672" s="14">
        <v>43864</v>
      </c>
      <c r="B672" s="5">
        <v>19699</v>
      </c>
      <c r="C672" s="5" t="s">
        <v>33</v>
      </c>
      <c r="D672" s="5">
        <v>728</v>
      </c>
      <c r="E672" s="5">
        <v>3</v>
      </c>
      <c r="F672" s="5">
        <v>8</v>
      </c>
      <c r="G672" s="14">
        <v>31568</v>
      </c>
      <c r="H672" s="5">
        <v>725775</v>
      </c>
      <c r="I672" s="5" t="s">
        <v>17</v>
      </c>
    </row>
    <row r="673" spans="1:9" x14ac:dyDescent="0.4">
      <c r="A673" s="14">
        <v>43873</v>
      </c>
      <c r="B673" s="5">
        <v>55935</v>
      </c>
      <c r="C673" s="5" t="s">
        <v>27</v>
      </c>
      <c r="D673" s="5">
        <v>746</v>
      </c>
      <c r="E673" s="5">
        <v>1</v>
      </c>
      <c r="F673" s="5">
        <v>9</v>
      </c>
      <c r="G673" s="14">
        <v>32979</v>
      </c>
      <c r="H673" s="5">
        <v>508324</v>
      </c>
      <c r="I673" s="5" t="s">
        <v>17</v>
      </c>
    </row>
    <row r="674" spans="1:9" x14ac:dyDescent="0.4">
      <c r="A674" s="14">
        <v>43861</v>
      </c>
      <c r="B674" s="5">
        <v>29979</v>
      </c>
      <c r="C674" s="5" t="s">
        <v>12</v>
      </c>
      <c r="D674" s="5">
        <v>759</v>
      </c>
      <c r="E674" s="5">
        <v>4</v>
      </c>
      <c r="F674" s="5">
        <v>9</v>
      </c>
      <c r="G674" s="14">
        <v>30818</v>
      </c>
      <c r="H674" s="5">
        <v>721137</v>
      </c>
      <c r="I674" s="5" t="s">
        <v>10</v>
      </c>
    </row>
    <row r="675" spans="1:9" x14ac:dyDescent="0.4">
      <c r="A675" s="14">
        <v>44058</v>
      </c>
      <c r="B675" s="5">
        <v>14973</v>
      </c>
      <c r="C675" s="5" t="s">
        <v>29</v>
      </c>
      <c r="D675" s="5">
        <v>747</v>
      </c>
      <c r="E675" s="5">
        <v>3</v>
      </c>
      <c r="F675" s="5">
        <v>1</v>
      </c>
      <c r="G675" s="14">
        <v>29254</v>
      </c>
      <c r="H675" s="5">
        <v>668710</v>
      </c>
      <c r="I675" s="5" t="s">
        <v>14</v>
      </c>
    </row>
    <row r="676" spans="1:9" x14ac:dyDescent="0.4">
      <c r="A676" s="14">
        <v>44094</v>
      </c>
      <c r="B676" s="5">
        <v>17959</v>
      </c>
      <c r="C676" s="5" t="s">
        <v>16</v>
      </c>
      <c r="D676" s="5">
        <v>766</v>
      </c>
      <c r="E676" s="5">
        <v>3</v>
      </c>
      <c r="F676" s="5">
        <v>2</v>
      </c>
      <c r="G676" s="14">
        <v>31315</v>
      </c>
      <c r="H676" s="5">
        <v>670428</v>
      </c>
      <c r="I676" s="5" t="s">
        <v>10</v>
      </c>
    </row>
    <row r="677" spans="1:9" x14ac:dyDescent="0.4">
      <c r="A677" s="14">
        <v>44147</v>
      </c>
      <c r="B677" s="5">
        <v>17983</v>
      </c>
      <c r="C677" s="5" t="s">
        <v>30</v>
      </c>
      <c r="D677" s="5">
        <v>758</v>
      </c>
      <c r="E677" s="5">
        <v>2</v>
      </c>
      <c r="F677" s="5">
        <v>7</v>
      </c>
      <c r="G677" s="14">
        <v>31525</v>
      </c>
      <c r="H677" s="5">
        <v>847229</v>
      </c>
      <c r="I677" s="5" t="s">
        <v>14</v>
      </c>
    </row>
    <row r="678" spans="1:9" x14ac:dyDescent="0.4">
      <c r="A678" s="14">
        <v>43875</v>
      </c>
      <c r="B678" s="5">
        <v>29633</v>
      </c>
      <c r="C678" s="5" t="s">
        <v>23</v>
      </c>
      <c r="D678" s="5">
        <v>771</v>
      </c>
      <c r="E678" s="5">
        <v>5</v>
      </c>
      <c r="F678" s="5">
        <v>2</v>
      </c>
      <c r="G678" s="14">
        <v>32920</v>
      </c>
      <c r="H678" s="5">
        <v>669917</v>
      </c>
      <c r="I678" s="5" t="s">
        <v>17</v>
      </c>
    </row>
    <row r="679" spans="1:9" x14ac:dyDescent="0.4">
      <c r="A679" s="14">
        <v>44077</v>
      </c>
      <c r="B679" s="5">
        <v>75456</v>
      </c>
      <c r="C679" s="5" t="s">
        <v>19</v>
      </c>
      <c r="D679" s="5">
        <v>774</v>
      </c>
      <c r="E679" s="5">
        <v>4</v>
      </c>
      <c r="F679" s="5">
        <v>3</v>
      </c>
      <c r="G679" s="14">
        <v>30558</v>
      </c>
      <c r="H679" s="5">
        <v>990091</v>
      </c>
      <c r="I679" s="5" t="s">
        <v>14</v>
      </c>
    </row>
    <row r="680" spans="1:9" x14ac:dyDescent="0.4">
      <c r="A680" s="14">
        <v>43968</v>
      </c>
      <c r="B680" s="5">
        <v>61438</v>
      </c>
      <c r="C680" s="5" t="s">
        <v>30</v>
      </c>
      <c r="D680" s="5">
        <v>704</v>
      </c>
      <c r="E680" s="5">
        <v>4</v>
      </c>
      <c r="F680" s="5">
        <v>6</v>
      </c>
      <c r="G680" s="14">
        <v>30851</v>
      </c>
      <c r="H680" s="5">
        <v>632671</v>
      </c>
      <c r="I680" s="5" t="s">
        <v>10</v>
      </c>
    </row>
    <row r="681" spans="1:9" x14ac:dyDescent="0.4">
      <c r="A681" s="14">
        <v>43933</v>
      </c>
      <c r="B681" s="5">
        <v>54730</v>
      </c>
      <c r="C681" s="5" t="s">
        <v>15</v>
      </c>
      <c r="D681" s="5">
        <v>726</v>
      </c>
      <c r="E681" s="5">
        <v>1</v>
      </c>
      <c r="F681" s="5">
        <v>1</v>
      </c>
      <c r="G681" s="14">
        <v>30920</v>
      </c>
      <c r="H681" s="5">
        <v>694525</v>
      </c>
      <c r="I681" s="5" t="s">
        <v>10</v>
      </c>
    </row>
    <row r="682" spans="1:9" x14ac:dyDescent="0.4">
      <c r="A682" s="14">
        <v>43998</v>
      </c>
      <c r="B682" s="5">
        <v>22403</v>
      </c>
      <c r="C682" s="5" t="s">
        <v>18</v>
      </c>
      <c r="D682" s="5">
        <v>774</v>
      </c>
      <c r="E682" s="5">
        <v>4</v>
      </c>
      <c r="F682" s="5">
        <v>9</v>
      </c>
      <c r="G682" s="14">
        <v>30304</v>
      </c>
      <c r="H682" s="5">
        <v>945314</v>
      </c>
      <c r="I682" s="5" t="s">
        <v>14</v>
      </c>
    </row>
    <row r="683" spans="1:9" x14ac:dyDescent="0.4">
      <c r="A683" s="14">
        <v>43874</v>
      </c>
      <c r="B683" s="5">
        <v>24460</v>
      </c>
      <c r="C683" s="5" t="s">
        <v>26</v>
      </c>
      <c r="D683" s="5">
        <v>731</v>
      </c>
      <c r="E683" s="5">
        <v>5</v>
      </c>
      <c r="F683" s="5">
        <v>2</v>
      </c>
      <c r="G683" s="14">
        <v>33975</v>
      </c>
      <c r="H683" s="5">
        <v>929077</v>
      </c>
      <c r="I683" s="5" t="s">
        <v>10</v>
      </c>
    </row>
    <row r="684" spans="1:9" x14ac:dyDescent="0.4">
      <c r="A684" s="14">
        <v>43937</v>
      </c>
      <c r="B684" s="5">
        <v>15555</v>
      </c>
      <c r="C684" s="5" t="s">
        <v>25</v>
      </c>
      <c r="D684" s="5">
        <v>761</v>
      </c>
      <c r="E684" s="5">
        <v>5</v>
      </c>
      <c r="F684" s="5">
        <v>1</v>
      </c>
      <c r="G684" s="14">
        <v>32538</v>
      </c>
      <c r="H684" s="5">
        <v>641971</v>
      </c>
      <c r="I684" s="5" t="s">
        <v>17</v>
      </c>
    </row>
    <row r="685" spans="1:9" x14ac:dyDescent="0.4">
      <c r="A685" s="14">
        <v>44156</v>
      </c>
      <c r="B685" s="5">
        <v>31572</v>
      </c>
      <c r="C685" s="5" t="s">
        <v>20</v>
      </c>
      <c r="D685" s="5">
        <v>716</v>
      </c>
      <c r="E685" s="5">
        <v>5</v>
      </c>
      <c r="F685" s="5">
        <v>3</v>
      </c>
      <c r="G685" s="14">
        <v>33973</v>
      </c>
      <c r="H685" s="5">
        <v>986183</v>
      </c>
      <c r="I685" s="5" t="s">
        <v>10</v>
      </c>
    </row>
    <row r="686" spans="1:9" x14ac:dyDescent="0.4">
      <c r="A686" s="14">
        <v>43904</v>
      </c>
      <c r="B686" s="5">
        <v>94468</v>
      </c>
      <c r="C686" s="5" t="s">
        <v>13</v>
      </c>
      <c r="D686" s="5">
        <v>703</v>
      </c>
      <c r="E686" s="5">
        <v>4</v>
      </c>
      <c r="F686" s="5">
        <v>2</v>
      </c>
      <c r="G686" s="14">
        <v>33609</v>
      </c>
      <c r="H686" s="5">
        <v>525840</v>
      </c>
      <c r="I686" s="5" t="s">
        <v>14</v>
      </c>
    </row>
    <row r="687" spans="1:9" x14ac:dyDescent="0.4">
      <c r="A687" s="14">
        <v>44063</v>
      </c>
      <c r="B687" s="5">
        <v>98284</v>
      </c>
      <c r="C687" s="5" t="s">
        <v>18</v>
      </c>
      <c r="D687" s="5">
        <v>722</v>
      </c>
      <c r="E687" s="5">
        <v>5</v>
      </c>
      <c r="F687" s="5">
        <v>3</v>
      </c>
      <c r="G687" s="14">
        <v>31366</v>
      </c>
      <c r="H687" s="5">
        <v>865509</v>
      </c>
      <c r="I687" s="5" t="s">
        <v>10</v>
      </c>
    </row>
    <row r="688" spans="1:9" x14ac:dyDescent="0.4">
      <c r="A688" s="14">
        <v>44023</v>
      </c>
      <c r="B688" s="5">
        <v>38660</v>
      </c>
      <c r="C688" s="5" t="s">
        <v>12</v>
      </c>
      <c r="D688" s="5">
        <v>755</v>
      </c>
      <c r="E688" s="5">
        <v>2</v>
      </c>
      <c r="F688" s="5">
        <v>7</v>
      </c>
      <c r="G688" s="14">
        <v>34068</v>
      </c>
      <c r="H688" s="5">
        <v>983501</v>
      </c>
      <c r="I688" s="5" t="s">
        <v>10</v>
      </c>
    </row>
    <row r="689" spans="1:9" x14ac:dyDescent="0.4">
      <c r="A689" s="14">
        <v>43836</v>
      </c>
      <c r="B689" s="5">
        <v>98925</v>
      </c>
      <c r="C689" s="5" t="s">
        <v>9</v>
      </c>
      <c r="D689" s="5">
        <v>743</v>
      </c>
      <c r="E689" s="5">
        <v>1</v>
      </c>
      <c r="F689" s="5">
        <v>1</v>
      </c>
      <c r="G689" s="14">
        <v>30652</v>
      </c>
      <c r="H689" s="5">
        <v>553339</v>
      </c>
      <c r="I689" s="5" t="s">
        <v>10</v>
      </c>
    </row>
    <row r="690" spans="1:9" x14ac:dyDescent="0.4">
      <c r="A690" s="14">
        <v>44108</v>
      </c>
      <c r="B690" s="5">
        <v>65148</v>
      </c>
      <c r="C690" s="5" t="s">
        <v>19</v>
      </c>
      <c r="D690" s="5">
        <v>756</v>
      </c>
      <c r="E690" s="5">
        <v>5</v>
      </c>
      <c r="F690" s="5">
        <v>1</v>
      </c>
      <c r="G690" s="14">
        <v>30203</v>
      </c>
      <c r="H690" s="5">
        <v>549563</v>
      </c>
      <c r="I690" s="5" t="s">
        <v>14</v>
      </c>
    </row>
    <row r="691" spans="1:9" x14ac:dyDescent="0.4">
      <c r="A691" s="14">
        <v>43952</v>
      </c>
      <c r="B691" s="5">
        <v>71954</v>
      </c>
      <c r="C691" s="5" t="s">
        <v>28</v>
      </c>
      <c r="D691" s="5">
        <v>710</v>
      </c>
      <c r="E691" s="5">
        <v>2</v>
      </c>
      <c r="F691" s="5">
        <v>1</v>
      </c>
      <c r="G691" s="14">
        <v>31087</v>
      </c>
      <c r="H691" s="5">
        <v>596391</v>
      </c>
      <c r="I691" s="5" t="s">
        <v>17</v>
      </c>
    </row>
    <row r="692" spans="1:9" x14ac:dyDescent="0.4">
      <c r="A692" s="14">
        <v>44120</v>
      </c>
      <c r="B692" s="5">
        <v>85361</v>
      </c>
      <c r="C692" s="5" t="s">
        <v>30</v>
      </c>
      <c r="D692" s="5">
        <v>750</v>
      </c>
      <c r="E692" s="5">
        <v>2</v>
      </c>
      <c r="F692" s="5">
        <v>3</v>
      </c>
      <c r="G692" s="14">
        <v>33050</v>
      </c>
      <c r="H692" s="5">
        <v>932471</v>
      </c>
      <c r="I692" s="5" t="s">
        <v>17</v>
      </c>
    </row>
    <row r="693" spans="1:9" x14ac:dyDescent="0.4">
      <c r="A693" s="14">
        <v>43833</v>
      </c>
      <c r="B693" s="5">
        <v>48460</v>
      </c>
      <c r="C693" s="5" t="s">
        <v>21</v>
      </c>
      <c r="D693" s="5">
        <v>763</v>
      </c>
      <c r="E693" s="5">
        <v>5</v>
      </c>
      <c r="F693" s="5">
        <v>7</v>
      </c>
      <c r="G693" s="14">
        <v>34346</v>
      </c>
      <c r="H693" s="5">
        <v>892876</v>
      </c>
      <c r="I693" s="5" t="s">
        <v>17</v>
      </c>
    </row>
    <row r="694" spans="1:9" x14ac:dyDescent="0.4">
      <c r="A694" s="14">
        <v>44063</v>
      </c>
      <c r="B694" s="5">
        <v>28260</v>
      </c>
      <c r="C694" s="5" t="s">
        <v>35</v>
      </c>
      <c r="D694" s="5">
        <v>777</v>
      </c>
      <c r="E694" s="5">
        <v>1</v>
      </c>
      <c r="F694" s="5">
        <v>10</v>
      </c>
      <c r="G694" s="14">
        <v>31887</v>
      </c>
      <c r="H694" s="5">
        <v>759460</v>
      </c>
      <c r="I694" s="5" t="s">
        <v>17</v>
      </c>
    </row>
    <row r="695" spans="1:9" x14ac:dyDescent="0.4">
      <c r="A695" s="14">
        <v>44144</v>
      </c>
      <c r="B695" s="5">
        <v>79019</v>
      </c>
      <c r="C695" s="5" t="s">
        <v>24</v>
      </c>
      <c r="D695" s="5">
        <v>722</v>
      </c>
      <c r="E695" s="5">
        <v>4</v>
      </c>
      <c r="F695" s="5">
        <v>8</v>
      </c>
      <c r="G695" s="14">
        <v>33929</v>
      </c>
      <c r="H695" s="5">
        <v>937822</v>
      </c>
      <c r="I695" s="5" t="s">
        <v>14</v>
      </c>
    </row>
    <row r="696" spans="1:9" x14ac:dyDescent="0.4">
      <c r="A696" s="14">
        <v>43982</v>
      </c>
      <c r="B696" s="5">
        <v>48370</v>
      </c>
      <c r="C696" s="5" t="s">
        <v>31</v>
      </c>
      <c r="D696" s="5">
        <v>792</v>
      </c>
      <c r="E696" s="5">
        <v>2</v>
      </c>
      <c r="F696" s="5">
        <v>6</v>
      </c>
      <c r="G696" s="14">
        <v>34243</v>
      </c>
      <c r="H696" s="5">
        <v>971965</v>
      </c>
      <c r="I696" s="5" t="s">
        <v>17</v>
      </c>
    </row>
    <row r="697" spans="1:9" x14ac:dyDescent="0.4">
      <c r="A697" s="14">
        <v>43949</v>
      </c>
      <c r="B697" s="5">
        <v>83571</v>
      </c>
      <c r="C697" s="5" t="s">
        <v>31</v>
      </c>
      <c r="D697" s="5">
        <v>728</v>
      </c>
      <c r="E697" s="5">
        <v>3</v>
      </c>
      <c r="F697" s="5">
        <v>5</v>
      </c>
      <c r="G697" s="14">
        <v>33787</v>
      </c>
      <c r="H697" s="5">
        <v>819520</v>
      </c>
      <c r="I697" s="5" t="s">
        <v>17</v>
      </c>
    </row>
    <row r="698" spans="1:9" x14ac:dyDescent="0.4">
      <c r="A698" s="14">
        <v>44053</v>
      </c>
      <c r="B698" s="5">
        <v>14826</v>
      </c>
      <c r="C698" s="5" t="s">
        <v>13</v>
      </c>
      <c r="D698" s="5">
        <v>774</v>
      </c>
      <c r="E698" s="5">
        <v>4</v>
      </c>
      <c r="F698" s="5">
        <v>8</v>
      </c>
      <c r="G698" s="14">
        <v>33666</v>
      </c>
      <c r="H698" s="5">
        <v>814530</v>
      </c>
      <c r="I698" s="5" t="s">
        <v>14</v>
      </c>
    </row>
    <row r="699" spans="1:9" x14ac:dyDescent="0.4">
      <c r="A699" s="14">
        <v>43892</v>
      </c>
      <c r="B699" s="5">
        <v>78823</v>
      </c>
      <c r="C699" s="5" t="s">
        <v>11</v>
      </c>
      <c r="D699" s="5">
        <v>752</v>
      </c>
      <c r="E699" s="5">
        <v>1</v>
      </c>
      <c r="F699" s="5">
        <v>3</v>
      </c>
      <c r="G699" s="14">
        <v>33230</v>
      </c>
      <c r="H699" s="5">
        <v>953866</v>
      </c>
      <c r="I699" s="5" t="s">
        <v>14</v>
      </c>
    </row>
    <row r="700" spans="1:9" x14ac:dyDescent="0.4">
      <c r="A700" s="14">
        <v>44158</v>
      </c>
      <c r="B700" s="5">
        <v>34005</v>
      </c>
      <c r="C700" s="5" t="s">
        <v>27</v>
      </c>
      <c r="D700" s="5">
        <v>713</v>
      </c>
      <c r="E700" s="5">
        <v>2</v>
      </c>
      <c r="F700" s="5">
        <v>1</v>
      </c>
      <c r="G700" s="14">
        <v>33129</v>
      </c>
      <c r="H700" s="5">
        <v>736970</v>
      </c>
      <c r="I700" s="5" t="s">
        <v>10</v>
      </c>
    </row>
    <row r="701" spans="1:9" x14ac:dyDescent="0.4">
      <c r="A701" s="14">
        <v>44085</v>
      </c>
      <c r="B701" s="5">
        <v>50325</v>
      </c>
      <c r="C701" s="5" t="s">
        <v>12</v>
      </c>
      <c r="D701" s="5">
        <v>784</v>
      </c>
      <c r="E701" s="5">
        <v>3</v>
      </c>
      <c r="F701" s="5">
        <v>8</v>
      </c>
      <c r="G701" s="14">
        <v>33068</v>
      </c>
      <c r="H701" s="5">
        <v>565722</v>
      </c>
      <c r="I701" s="5" t="s">
        <v>14</v>
      </c>
    </row>
    <row r="702" spans="1:9" x14ac:dyDescent="0.4">
      <c r="A702" s="14">
        <v>43864</v>
      </c>
      <c r="B702" s="5">
        <v>13130</v>
      </c>
      <c r="C702" s="5" t="s">
        <v>32</v>
      </c>
      <c r="D702" s="5">
        <v>730</v>
      </c>
      <c r="E702" s="5">
        <v>3</v>
      </c>
      <c r="F702" s="5">
        <v>1</v>
      </c>
      <c r="G702" s="14">
        <v>34496</v>
      </c>
      <c r="H702" s="5">
        <v>734947</v>
      </c>
      <c r="I702" s="5" t="s">
        <v>14</v>
      </c>
    </row>
    <row r="703" spans="1:9" x14ac:dyDescent="0.4">
      <c r="A703" s="14">
        <v>44063</v>
      </c>
      <c r="B703" s="5">
        <v>45759</v>
      </c>
      <c r="C703" s="5" t="s">
        <v>35</v>
      </c>
      <c r="D703" s="5">
        <v>734</v>
      </c>
      <c r="E703" s="5">
        <v>5</v>
      </c>
      <c r="F703" s="5">
        <v>6</v>
      </c>
      <c r="G703" s="14">
        <v>29727</v>
      </c>
      <c r="H703" s="5">
        <v>935278</v>
      </c>
      <c r="I703" s="5" t="s">
        <v>14</v>
      </c>
    </row>
    <row r="704" spans="1:9" x14ac:dyDescent="0.4">
      <c r="A704" s="14">
        <v>43857</v>
      </c>
      <c r="B704" s="5">
        <v>98695</v>
      </c>
      <c r="C704" s="5" t="s">
        <v>35</v>
      </c>
      <c r="D704" s="5">
        <v>704</v>
      </c>
      <c r="E704" s="5">
        <v>2</v>
      </c>
      <c r="F704" s="5">
        <v>4</v>
      </c>
      <c r="G704" s="14">
        <v>29890</v>
      </c>
      <c r="H704" s="5">
        <v>721081</v>
      </c>
      <c r="I704" s="5" t="s">
        <v>17</v>
      </c>
    </row>
    <row r="705" spans="1:9" x14ac:dyDescent="0.4">
      <c r="A705" s="14">
        <v>43946</v>
      </c>
      <c r="B705" s="5">
        <v>72401</v>
      </c>
      <c r="C705" s="5" t="s">
        <v>21</v>
      </c>
      <c r="D705" s="5">
        <v>718</v>
      </c>
      <c r="E705" s="5">
        <v>1</v>
      </c>
      <c r="F705" s="5">
        <v>7</v>
      </c>
      <c r="G705" s="14">
        <v>31429</v>
      </c>
      <c r="H705" s="5">
        <v>586165</v>
      </c>
      <c r="I705" s="5" t="s">
        <v>17</v>
      </c>
    </row>
    <row r="706" spans="1:9" x14ac:dyDescent="0.4">
      <c r="A706" s="14">
        <v>43925</v>
      </c>
      <c r="B706" s="5">
        <v>85134</v>
      </c>
      <c r="C706" s="5" t="s">
        <v>18</v>
      </c>
      <c r="D706" s="5">
        <v>728</v>
      </c>
      <c r="E706" s="5">
        <v>4</v>
      </c>
      <c r="F706" s="5">
        <v>8</v>
      </c>
      <c r="G706" s="14">
        <v>31378</v>
      </c>
      <c r="H706" s="5">
        <v>557403</v>
      </c>
      <c r="I706" s="5" t="s">
        <v>10</v>
      </c>
    </row>
    <row r="707" spans="1:9" x14ac:dyDescent="0.4">
      <c r="A707" s="14">
        <v>44078</v>
      </c>
      <c r="B707" s="5">
        <v>94412</v>
      </c>
      <c r="C707" s="5" t="s">
        <v>34</v>
      </c>
      <c r="D707" s="5">
        <v>786</v>
      </c>
      <c r="E707" s="5">
        <v>4</v>
      </c>
      <c r="F707" s="5">
        <v>2</v>
      </c>
      <c r="G707" s="14">
        <v>33602</v>
      </c>
      <c r="H707" s="5">
        <v>877945</v>
      </c>
      <c r="I707" s="5" t="s">
        <v>14</v>
      </c>
    </row>
    <row r="708" spans="1:9" x14ac:dyDescent="0.4">
      <c r="A708" s="14">
        <v>44014</v>
      </c>
      <c r="B708" s="5">
        <v>98555</v>
      </c>
      <c r="C708" s="5" t="s">
        <v>35</v>
      </c>
      <c r="D708" s="5">
        <v>743</v>
      </c>
      <c r="E708" s="5">
        <v>5</v>
      </c>
      <c r="F708" s="5">
        <v>8</v>
      </c>
      <c r="G708" s="14">
        <v>34037</v>
      </c>
      <c r="H708" s="5">
        <v>557735</v>
      </c>
      <c r="I708" s="5" t="s">
        <v>14</v>
      </c>
    </row>
    <row r="709" spans="1:9" x14ac:dyDescent="0.4">
      <c r="A709" s="14">
        <v>43950</v>
      </c>
      <c r="B709" s="5">
        <v>71644</v>
      </c>
      <c r="C709" s="5" t="s">
        <v>34</v>
      </c>
      <c r="D709" s="5">
        <v>723</v>
      </c>
      <c r="E709" s="5">
        <v>1</v>
      </c>
      <c r="F709" s="5">
        <v>1</v>
      </c>
      <c r="G709" s="14">
        <v>32600</v>
      </c>
      <c r="H709" s="5">
        <v>898684</v>
      </c>
      <c r="I709" s="5" t="s">
        <v>10</v>
      </c>
    </row>
    <row r="710" spans="1:9" x14ac:dyDescent="0.4">
      <c r="A710" s="14">
        <v>44012</v>
      </c>
      <c r="B710" s="5">
        <v>53794</v>
      </c>
      <c r="C710" s="5" t="s">
        <v>21</v>
      </c>
      <c r="D710" s="5">
        <v>723</v>
      </c>
      <c r="E710" s="5">
        <v>2</v>
      </c>
      <c r="F710" s="5">
        <v>9</v>
      </c>
      <c r="G710" s="14">
        <v>30470</v>
      </c>
      <c r="H710" s="5">
        <v>999597</v>
      </c>
      <c r="I710" s="5" t="s">
        <v>14</v>
      </c>
    </row>
    <row r="711" spans="1:9" x14ac:dyDescent="0.4">
      <c r="A711" s="14">
        <v>43854</v>
      </c>
      <c r="B711" s="5">
        <v>52610</v>
      </c>
      <c r="C711" s="5" t="s">
        <v>28</v>
      </c>
      <c r="D711" s="5">
        <v>800</v>
      </c>
      <c r="E711" s="5">
        <v>5</v>
      </c>
      <c r="F711" s="5">
        <v>9</v>
      </c>
      <c r="G711" s="14">
        <v>33731</v>
      </c>
      <c r="H711" s="5">
        <v>917930</v>
      </c>
      <c r="I711" s="5" t="s">
        <v>10</v>
      </c>
    </row>
    <row r="712" spans="1:9" x14ac:dyDescent="0.4">
      <c r="A712" s="14">
        <v>43866</v>
      </c>
      <c r="B712" s="5">
        <v>54452</v>
      </c>
      <c r="C712" s="5" t="s">
        <v>34</v>
      </c>
      <c r="D712" s="5">
        <v>765</v>
      </c>
      <c r="E712" s="5">
        <v>3</v>
      </c>
      <c r="F712" s="5">
        <v>3</v>
      </c>
      <c r="G712" s="14">
        <v>33700</v>
      </c>
      <c r="H712" s="5">
        <v>864291</v>
      </c>
      <c r="I712" s="5" t="s">
        <v>10</v>
      </c>
    </row>
    <row r="713" spans="1:9" x14ac:dyDescent="0.4">
      <c r="A713" s="14">
        <v>43996</v>
      </c>
      <c r="B713" s="5">
        <v>62573</v>
      </c>
      <c r="C713" s="5" t="s">
        <v>20</v>
      </c>
      <c r="D713" s="5">
        <v>703</v>
      </c>
      <c r="E713" s="5">
        <v>3</v>
      </c>
      <c r="F713" s="5">
        <v>10</v>
      </c>
      <c r="G713" s="14">
        <v>34294</v>
      </c>
      <c r="H713" s="5">
        <v>694026</v>
      </c>
      <c r="I713" s="5" t="s">
        <v>17</v>
      </c>
    </row>
    <row r="714" spans="1:9" x14ac:dyDescent="0.4">
      <c r="A714" s="14">
        <v>43938</v>
      </c>
      <c r="B714" s="5">
        <v>17465</v>
      </c>
      <c r="C714" s="5" t="s">
        <v>34</v>
      </c>
      <c r="D714" s="5">
        <v>748</v>
      </c>
      <c r="E714" s="5">
        <v>4</v>
      </c>
      <c r="F714" s="5">
        <v>5</v>
      </c>
      <c r="G714" s="14">
        <v>32433</v>
      </c>
      <c r="H714" s="5">
        <v>862990</v>
      </c>
      <c r="I714" s="5" t="s">
        <v>14</v>
      </c>
    </row>
    <row r="715" spans="1:9" x14ac:dyDescent="0.4">
      <c r="A715" s="14">
        <v>44116</v>
      </c>
      <c r="B715" s="5">
        <v>58255</v>
      </c>
      <c r="C715" s="5" t="s">
        <v>21</v>
      </c>
      <c r="D715" s="5">
        <v>796</v>
      </c>
      <c r="E715" s="5">
        <v>4</v>
      </c>
      <c r="F715" s="5">
        <v>5</v>
      </c>
      <c r="G715" s="14">
        <v>34111</v>
      </c>
      <c r="H715" s="5">
        <v>570936</v>
      </c>
      <c r="I715" s="5" t="s">
        <v>17</v>
      </c>
    </row>
    <row r="716" spans="1:9" x14ac:dyDescent="0.4">
      <c r="A716" s="14">
        <v>43981</v>
      </c>
      <c r="B716" s="5">
        <v>15392</v>
      </c>
      <c r="C716" s="5" t="s">
        <v>22</v>
      </c>
      <c r="D716" s="5">
        <v>704</v>
      </c>
      <c r="E716" s="5">
        <v>4</v>
      </c>
      <c r="F716" s="5">
        <v>10</v>
      </c>
      <c r="G716" s="14">
        <v>33963</v>
      </c>
      <c r="H716" s="5">
        <v>940130</v>
      </c>
      <c r="I716" s="5" t="s">
        <v>10</v>
      </c>
    </row>
    <row r="717" spans="1:9" x14ac:dyDescent="0.4">
      <c r="A717" s="14">
        <v>43849</v>
      </c>
      <c r="B717" s="5">
        <v>93307</v>
      </c>
      <c r="C717" s="5" t="s">
        <v>28</v>
      </c>
      <c r="D717" s="5">
        <v>762</v>
      </c>
      <c r="E717" s="5">
        <v>5</v>
      </c>
      <c r="F717" s="5">
        <v>9</v>
      </c>
      <c r="G717" s="14">
        <v>34099</v>
      </c>
      <c r="H717" s="5">
        <v>923284</v>
      </c>
      <c r="I717" s="5" t="s">
        <v>10</v>
      </c>
    </row>
    <row r="718" spans="1:9" x14ac:dyDescent="0.4">
      <c r="A718" s="14">
        <v>43865</v>
      </c>
      <c r="B718" s="5">
        <v>76210</v>
      </c>
      <c r="C718" s="5" t="s">
        <v>16</v>
      </c>
      <c r="D718" s="5">
        <v>796</v>
      </c>
      <c r="E718" s="5">
        <v>3</v>
      </c>
      <c r="F718" s="5">
        <v>5</v>
      </c>
      <c r="G718" s="14">
        <v>32336</v>
      </c>
      <c r="H718" s="5">
        <v>580793</v>
      </c>
      <c r="I718" s="5" t="s">
        <v>14</v>
      </c>
    </row>
    <row r="719" spans="1:9" x14ac:dyDescent="0.4">
      <c r="A719" s="14">
        <v>44018</v>
      </c>
      <c r="B719" s="5">
        <v>77353</v>
      </c>
      <c r="C719" s="5" t="s">
        <v>30</v>
      </c>
      <c r="D719" s="5">
        <v>758</v>
      </c>
      <c r="E719" s="5">
        <v>5</v>
      </c>
      <c r="F719" s="5">
        <v>9</v>
      </c>
      <c r="G719" s="14">
        <v>29600</v>
      </c>
      <c r="H719" s="5">
        <v>847258</v>
      </c>
      <c r="I719" s="5" t="s">
        <v>10</v>
      </c>
    </row>
    <row r="720" spans="1:9" x14ac:dyDescent="0.4">
      <c r="A720" s="14">
        <v>43838</v>
      </c>
      <c r="B720" s="5">
        <v>34273</v>
      </c>
      <c r="C720" s="5" t="s">
        <v>21</v>
      </c>
      <c r="D720" s="5">
        <v>768</v>
      </c>
      <c r="E720" s="5">
        <v>4</v>
      </c>
      <c r="F720" s="5">
        <v>5</v>
      </c>
      <c r="G720" s="14">
        <v>31035</v>
      </c>
      <c r="H720" s="5">
        <v>506736</v>
      </c>
      <c r="I720" s="5" t="s">
        <v>14</v>
      </c>
    </row>
    <row r="721" spans="1:9" x14ac:dyDescent="0.4">
      <c r="A721" s="14">
        <v>43978</v>
      </c>
      <c r="B721" s="5">
        <v>84750</v>
      </c>
      <c r="C721" s="5" t="s">
        <v>24</v>
      </c>
      <c r="D721" s="5">
        <v>749</v>
      </c>
      <c r="E721" s="5">
        <v>1</v>
      </c>
      <c r="F721" s="5">
        <v>5</v>
      </c>
      <c r="G721" s="14">
        <v>29822</v>
      </c>
      <c r="H721" s="5">
        <v>867752</v>
      </c>
      <c r="I721" s="5" t="s">
        <v>17</v>
      </c>
    </row>
    <row r="722" spans="1:9" x14ac:dyDescent="0.4">
      <c r="A722" s="14">
        <v>43902</v>
      </c>
      <c r="B722" s="5">
        <v>39641</v>
      </c>
      <c r="C722" s="5" t="s">
        <v>23</v>
      </c>
      <c r="D722" s="5">
        <v>793</v>
      </c>
      <c r="E722" s="5">
        <v>2</v>
      </c>
      <c r="F722" s="5">
        <v>6</v>
      </c>
      <c r="G722" s="14">
        <v>30670</v>
      </c>
      <c r="H722" s="5">
        <v>839870</v>
      </c>
      <c r="I722" s="5" t="s">
        <v>14</v>
      </c>
    </row>
    <row r="723" spans="1:9" x14ac:dyDescent="0.4">
      <c r="A723" s="14">
        <v>44128</v>
      </c>
      <c r="B723" s="5">
        <v>38013</v>
      </c>
      <c r="C723" s="5" t="s">
        <v>22</v>
      </c>
      <c r="D723" s="5">
        <v>756</v>
      </c>
      <c r="E723" s="5">
        <v>5</v>
      </c>
      <c r="F723" s="5">
        <v>9</v>
      </c>
      <c r="G723" s="14">
        <v>34288</v>
      </c>
      <c r="H723" s="5">
        <v>512988</v>
      </c>
      <c r="I723" s="5" t="s">
        <v>17</v>
      </c>
    </row>
    <row r="724" spans="1:9" x14ac:dyDescent="0.4">
      <c r="A724" s="14">
        <v>43932</v>
      </c>
      <c r="B724" s="5">
        <v>17970</v>
      </c>
      <c r="C724" s="5" t="s">
        <v>23</v>
      </c>
      <c r="D724" s="5">
        <v>748</v>
      </c>
      <c r="E724" s="5">
        <v>5</v>
      </c>
      <c r="F724" s="5">
        <v>1</v>
      </c>
      <c r="G724" s="14">
        <v>29296</v>
      </c>
      <c r="H724" s="5">
        <v>855983</v>
      </c>
      <c r="I724" s="5" t="s">
        <v>17</v>
      </c>
    </row>
    <row r="725" spans="1:9" x14ac:dyDescent="0.4">
      <c r="A725" s="14">
        <v>44039</v>
      </c>
      <c r="B725" s="5">
        <v>82087</v>
      </c>
      <c r="C725" s="5" t="s">
        <v>26</v>
      </c>
      <c r="D725" s="5">
        <v>767</v>
      </c>
      <c r="E725" s="5">
        <v>3</v>
      </c>
      <c r="F725" s="5">
        <v>3</v>
      </c>
      <c r="G725" s="14">
        <v>32734</v>
      </c>
      <c r="H725" s="5">
        <v>839506</v>
      </c>
      <c r="I725" s="5" t="s">
        <v>17</v>
      </c>
    </row>
    <row r="726" spans="1:9" x14ac:dyDescent="0.4">
      <c r="A726" s="14">
        <v>43892</v>
      </c>
      <c r="B726" s="5">
        <v>69407</v>
      </c>
      <c r="C726" s="5" t="s">
        <v>15</v>
      </c>
      <c r="D726" s="5">
        <v>754</v>
      </c>
      <c r="E726" s="5">
        <v>3</v>
      </c>
      <c r="F726" s="5">
        <v>3</v>
      </c>
      <c r="G726" s="14">
        <v>32300</v>
      </c>
      <c r="H726" s="5">
        <v>850355</v>
      </c>
      <c r="I726" s="5" t="s">
        <v>10</v>
      </c>
    </row>
    <row r="727" spans="1:9" x14ac:dyDescent="0.4">
      <c r="A727" s="14">
        <v>44044</v>
      </c>
      <c r="B727" s="5">
        <v>51439</v>
      </c>
      <c r="C727" s="5" t="s">
        <v>16</v>
      </c>
      <c r="D727" s="5">
        <v>784</v>
      </c>
      <c r="E727" s="5">
        <v>2</v>
      </c>
      <c r="F727" s="5">
        <v>6</v>
      </c>
      <c r="G727" s="14">
        <v>31704</v>
      </c>
      <c r="H727" s="5">
        <v>698767</v>
      </c>
      <c r="I727" s="5" t="s">
        <v>14</v>
      </c>
    </row>
    <row r="728" spans="1:9" x14ac:dyDescent="0.4">
      <c r="A728" s="14">
        <v>44143</v>
      </c>
      <c r="B728" s="5">
        <v>96597</v>
      </c>
      <c r="C728" s="5" t="s">
        <v>24</v>
      </c>
      <c r="D728" s="5">
        <v>711</v>
      </c>
      <c r="E728" s="5">
        <v>3</v>
      </c>
      <c r="F728" s="5">
        <v>5</v>
      </c>
      <c r="G728" s="14">
        <v>30227</v>
      </c>
      <c r="H728" s="5">
        <v>979209</v>
      </c>
      <c r="I728" s="5" t="s">
        <v>14</v>
      </c>
    </row>
    <row r="729" spans="1:9" x14ac:dyDescent="0.4">
      <c r="A729" s="14">
        <v>43935</v>
      </c>
      <c r="B729" s="5">
        <v>62604</v>
      </c>
      <c r="C729" s="5" t="s">
        <v>29</v>
      </c>
      <c r="D729" s="5">
        <v>781</v>
      </c>
      <c r="E729" s="5">
        <v>1</v>
      </c>
      <c r="F729" s="5">
        <v>8</v>
      </c>
      <c r="G729" s="14">
        <v>29565</v>
      </c>
      <c r="H729" s="5">
        <v>624867</v>
      </c>
      <c r="I729" s="5" t="s">
        <v>14</v>
      </c>
    </row>
    <row r="730" spans="1:9" x14ac:dyDescent="0.4">
      <c r="A730" s="14">
        <v>43944</v>
      </c>
      <c r="B730" s="5">
        <v>11075</v>
      </c>
      <c r="C730" s="5" t="s">
        <v>34</v>
      </c>
      <c r="D730" s="5">
        <v>713</v>
      </c>
      <c r="E730" s="5">
        <v>5</v>
      </c>
      <c r="F730" s="5">
        <v>1</v>
      </c>
      <c r="G730" s="14">
        <v>30369</v>
      </c>
      <c r="H730" s="5">
        <v>622640</v>
      </c>
      <c r="I730" s="5" t="s">
        <v>17</v>
      </c>
    </row>
    <row r="731" spans="1:9" x14ac:dyDescent="0.4">
      <c r="A731" s="14">
        <v>43955</v>
      </c>
      <c r="B731" s="5">
        <v>92028</v>
      </c>
      <c r="C731" s="5" t="s">
        <v>9</v>
      </c>
      <c r="D731" s="5">
        <v>763</v>
      </c>
      <c r="E731" s="5">
        <v>4</v>
      </c>
      <c r="F731" s="5">
        <v>9</v>
      </c>
      <c r="G731" s="14">
        <v>29778</v>
      </c>
      <c r="H731" s="5">
        <v>563736</v>
      </c>
      <c r="I731" s="5" t="s">
        <v>14</v>
      </c>
    </row>
    <row r="732" spans="1:9" x14ac:dyDescent="0.4">
      <c r="A732" s="14">
        <v>43917</v>
      </c>
      <c r="B732" s="5">
        <v>30370</v>
      </c>
      <c r="C732" s="5" t="s">
        <v>15</v>
      </c>
      <c r="D732" s="5">
        <v>781</v>
      </c>
      <c r="E732" s="5">
        <v>1</v>
      </c>
      <c r="F732" s="5">
        <v>10</v>
      </c>
      <c r="G732" s="14">
        <v>30240</v>
      </c>
      <c r="H732" s="5">
        <v>968094</v>
      </c>
      <c r="I732" s="5" t="s">
        <v>17</v>
      </c>
    </row>
    <row r="733" spans="1:9" x14ac:dyDescent="0.4">
      <c r="A733" s="14">
        <v>43979</v>
      </c>
      <c r="B733" s="5">
        <v>19054</v>
      </c>
      <c r="C733" s="5" t="s">
        <v>19</v>
      </c>
      <c r="D733" s="5">
        <v>711</v>
      </c>
      <c r="E733" s="5">
        <v>5</v>
      </c>
      <c r="F733" s="5">
        <v>10</v>
      </c>
      <c r="G733" s="14">
        <v>32596</v>
      </c>
      <c r="H733" s="5">
        <v>881748</v>
      </c>
      <c r="I733" s="5" t="s">
        <v>17</v>
      </c>
    </row>
    <row r="734" spans="1:9" x14ac:dyDescent="0.4">
      <c r="A734" s="14">
        <v>43884</v>
      </c>
      <c r="B734" s="5">
        <v>93308</v>
      </c>
      <c r="C734" s="5" t="s">
        <v>33</v>
      </c>
      <c r="D734" s="5">
        <v>784</v>
      </c>
      <c r="E734" s="5">
        <v>1</v>
      </c>
      <c r="F734" s="5">
        <v>7</v>
      </c>
      <c r="G734" s="14">
        <v>32715</v>
      </c>
      <c r="H734" s="5">
        <v>744871</v>
      </c>
      <c r="I734" s="5" t="s">
        <v>14</v>
      </c>
    </row>
    <row r="735" spans="1:9" x14ac:dyDescent="0.4">
      <c r="A735" s="14">
        <v>43876</v>
      </c>
      <c r="B735" s="5">
        <v>75614</v>
      </c>
      <c r="C735" s="5" t="s">
        <v>23</v>
      </c>
      <c r="D735" s="5">
        <v>729</v>
      </c>
      <c r="E735" s="5">
        <v>1</v>
      </c>
      <c r="F735" s="5">
        <v>7</v>
      </c>
      <c r="G735" s="14">
        <v>33152</v>
      </c>
      <c r="H735" s="5">
        <v>545164</v>
      </c>
      <c r="I735" s="5" t="s">
        <v>17</v>
      </c>
    </row>
    <row r="736" spans="1:9" x14ac:dyDescent="0.4">
      <c r="A736" s="14">
        <v>44089</v>
      </c>
      <c r="B736" s="5">
        <v>26093</v>
      </c>
      <c r="C736" s="5" t="s">
        <v>22</v>
      </c>
      <c r="D736" s="5">
        <v>747</v>
      </c>
      <c r="E736" s="5">
        <v>1</v>
      </c>
      <c r="F736" s="5">
        <v>7</v>
      </c>
      <c r="G736" s="14">
        <v>32673</v>
      </c>
      <c r="H736" s="5">
        <v>824245</v>
      </c>
      <c r="I736" s="5" t="s">
        <v>14</v>
      </c>
    </row>
    <row r="737" spans="1:9" x14ac:dyDescent="0.4">
      <c r="A737" s="14">
        <v>43831</v>
      </c>
      <c r="B737" s="5">
        <v>12031</v>
      </c>
      <c r="C737" s="5" t="s">
        <v>34</v>
      </c>
      <c r="D737" s="5">
        <v>777</v>
      </c>
      <c r="E737" s="5">
        <v>4</v>
      </c>
      <c r="F737" s="5">
        <v>2</v>
      </c>
      <c r="G737" s="14">
        <v>30447</v>
      </c>
      <c r="H737" s="5">
        <v>875258</v>
      </c>
      <c r="I737" s="5" t="s">
        <v>14</v>
      </c>
    </row>
    <row r="738" spans="1:9" x14ac:dyDescent="0.4">
      <c r="A738" s="14">
        <v>44070</v>
      </c>
      <c r="B738" s="5">
        <v>59382</v>
      </c>
      <c r="C738" s="5" t="s">
        <v>34</v>
      </c>
      <c r="D738" s="5">
        <v>730</v>
      </c>
      <c r="E738" s="5">
        <v>2</v>
      </c>
      <c r="F738" s="5">
        <v>7</v>
      </c>
      <c r="G738" s="14">
        <v>30815</v>
      </c>
      <c r="H738" s="5">
        <v>801163</v>
      </c>
      <c r="I738" s="5" t="s">
        <v>14</v>
      </c>
    </row>
    <row r="739" spans="1:9" x14ac:dyDescent="0.4">
      <c r="A739" s="14">
        <v>43879</v>
      </c>
      <c r="B739" s="5">
        <v>48790</v>
      </c>
      <c r="C739" s="5" t="s">
        <v>25</v>
      </c>
      <c r="D739" s="5">
        <v>708</v>
      </c>
      <c r="E739" s="5">
        <v>5</v>
      </c>
      <c r="F739" s="5">
        <v>10</v>
      </c>
      <c r="G739" s="14">
        <v>31519</v>
      </c>
      <c r="H739" s="5">
        <v>537442</v>
      </c>
      <c r="I739" s="5" t="s">
        <v>17</v>
      </c>
    </row>
    <row r="740" spans="1:9" x14ac:dyDescent="0.4">
      <c r="A740" s="14">
        <v>44112</v>
      </c>
      <c r="B740" s="5">
        <v>89837</v>
      </c>
      <c r="C740" s="5" t="s">
        <v>30</v>
      </c>
      <c r="D740" s="5">
        <v>711</v>
      </c>
      <c r="E740" s="5">
        <v>1</v>
      </c>
      <c r="F740" s="5">
        <v>8</v>
      </c>
      <c r="G740" s="14">
        <v>32591</v>
      </c>
      <c r="H740" s="5">
        <v>693530</v>
      </c>
      <c r="I740" s="5" t="s">
        <v>14</v>
      </c>
    </row>
    <row r="741" spans="1:9" x14ac:dyDescent="0.4">
      <c r="A741" s="14">
        <v>44091</v>
      </c>
      <c r="B741" s="5">
        <v>77042</v>
      </c>
      <c r="C741" s="5" t="s">
        <v>12</v>
      </c>
      <c r="D741" s="5">
        <v>747</v>
      </c>
      <c r="E741" s="5">
        <v>5</v>
      </c>
      <c r="F741" s="5">
        <v>5</v>
      </c>
      <c r="G741" s="14">
        <v>33355</v>
      </c>
      <c r="H741" s="5">
        <v>949239</v>
      </c>
      <c r="I741" s="5" t="s">
        <v>14</v>
      </c>
    </row>
    <row r="742" spans="1:9" x14ac:dyDescent="0.4">
      <c r="A742" s="14">
        <v>44080</v>
      </c>
      <c r="B742" s="5">
        <v>67996</v>
      </c>
      <c r="C742" s="5" t="s">
        <v>13</v>
      </c>
      <c r="D742" s="5">
        <v>799</v>
      </c>
      <c r="E742" s="5">
        <v>5</v>
      </c>
      <c r="F742" s="5">
        <v>10</v>
      </c>
      <c r="G742" s="14">
        <v>34578</v>
      </c>
      <c r="H742" s="5">
        <v>581105</v>
      </c>
      <c r="I742" s="5" t="s">
        <v>17</v>
      </c>
    </row>
    <row r="743" spans="1:9" x14ac:dyDescent="0.4">
      <c r="A743" s="14">
        <v>44094</v>
      </c>
      <c r="B743" s="5">
        <v>99363</v>
      </c>
      <c r="C743" s="5" t="s">
        <v>24</v>
      </c>
      <c r="D743" s="5">
        <v>736</v>
      </c>
      <c r="E743" s="5">
        <v>5</v>
      </c>
      <c r="F743" s="5">
        <v>8</v>
      </c>
      <c r="G743" s="14">
        <v>30782</v>
      </c>
      <c r="H743" s="5">
        <v>562888</v>
      </c>
      <c r="I743" s="5" t="s">
        <v>10</v>
      </c>
    </row>
    <row r="744" spans="1:9" x14ac:dyDescent="0.4">
      <c r="A744" s="14">
        <v>44066</v>
      </c>
      <c r="B744" s="5">
        <v>10898</v>
      </c>
      <c r="C744" s="5" t="s">
        <v>22</v>
      </c>
      <c r="D744" s="5">
        <v>719</v>
      </c>
      <c r="E744" s="5">
        <v>1</v>
      </c>
      <c r="F744" s="5">
        <v>3</v>
      </c>
      <c r="G744" s="14">
        <v>34676</v>
      </c>
      <c r="H744" s="5">
        <v>668384</v>
      </c>
      <c r="I744" s="5" t="s">
        <v>10</v>
      </c>
    </row>
    <row r="745" spans="1:9" x14ac:dyDescent="0.4">
      <c r="A745" s="14">
        <v>43918</v>
      </c>
      <c r="B745" s="5">
        <v>29743</v>
      </c>
      <c r="C745" s="5" t="s">
        <v>21</v>
      </c>
      <c r="D745" s="5">
        <v>741</v>
      </c>
      <c r="E745" s="5">
        <v>3</v>
      </c>
      <c r="F745" s="5">
        <v>5</v>
      </c>
      <c r="G745" s="14">
        <v>31227</v>
      </c>
      <c r="H745" s="5">
        <v>578374</v>
      </c>
      <c r="I745" s="5" t="s">
        <v>14</v>
      </c>
    </row>
    <row r="746" spans="1:9" x14ac:dyDescent="0.4">
      <c r="A746" s="14">
        <v>44028</v>
      </c>
      <c r="B746" s="5">
        <v>47015</v>
      </c>
      <c r="C746" s="5" t="s">
        <v>28</v>
      </c>
      <c r="D746" s="5">
        <v>713</v>
      </c>
      <c r="E746" s="5">
        <v>1</v>
      </c>
      <c r="F746" s="5">
        <v>7</v>
      </c>
      <c r="G746" s="14">
        <v>30322</v>
      </c>
      <c r="H746" s="5">
        <v>611606</v>
      </c>
      <c r="I746" s="5" t="s">
        <v>10</v>
      </c>
    </row>
    <row r="747" spans="1:9" x14ac:dyDescent="0.4">
      <c r="A747" s="14">
        <v>43924</v>
      </c>
      <c r="B747" s="5">
        <v>10568</v>
      </c>
      <c r="C747" s="5" t="s">
        <v>33</v>
      </c>
      <c r="D747" s="5">
        <v>730</v>
      </c>
      <c r="E747" s="5">
        <v>1</v>
      </c>
      <c r="F747" s="5">
        <v>8</v>
      </c>
      <c r="G747" s="14">
        <v>32214</v>
      </c>
      <c r="H747" s="5">
        <v>630670</v>
      </c>
      <c r="I747" s="5" t="s">
        <v>14</v>
      </c>
    </row>
    <row r="748" spans="1:9" x14ac:dyDescent="0.4">
      <c r="A748" s="14">
        <v>44038</v>
      </c>
      <c r="B748" s="5">
        <v>36742</v>
      </c>
      <c r="C748" s="5" t="s">
        <v>31</v>
      </c>
      <c r="D748" s="5">
        <v>763</v>
      </c>
      <c r="E748" s="5">
        <v>1</v>
      </c>
      <c r="F748" s="5">
        <v>6</v>
      </c>
      <c r="G748" s="14">
        <v>32309</v>
      </c>
      <c r="H748" s="5">
        <v>983476</v>
      </c>
      <c r="I748" s="5" t="s">
        <v>10</v>
      </c>
    </row>
    <row r="749" spans="1:9" x14ac:dyDescent="0.4">
      <c r="A749" s="14">
        <v>44054</v>
      </c>
      <c r="B749" s="5">
        <v>47028</v>
      </c>
      <c r="C749" s="5" t="s">
        <v>13</v>
      </c>
      <c r="D749" s="5">
        <v>736</v>
      </c>
      <c r="E749" s="5">
        <v>3</v>
      </c>
      <c r="F749" s="5">
        <v>2</v>
      </c>
      <c r="G749" s="14">
        <v>31536</v>
      </c>
      <c r="H749" s="5">
        <v>854328</v>
      </c>
      <c r="I749" s="5" t="s">
        <v>17</v>
      </c>
    </row>
    <row r="750" spans="1:9" x14ac:dyDescent="0.4">
      <c r="A750" s="14">
        <v>43913</v>
      </c>
      <c r="B750" s="5">
        <v>14105</v>
      </c>
      <c r="C750" s="5" t="s">
        <v>27</v>
      </c>
      <c r="D750" s="5">
        <v>799</v>
      </c>
      <c r="E750" s="5">
        <v>2</v>
      </c>
      <c r="F750" s="5">
        <v>5</v>
      </c>
      <c r="G750" s="14">
        <v>30577</v>
      </c>
      <c r="H750" s="5">
        <v>641083</v>
      </c>
      <c r="I750" s="5" t="s">
        <v>17</v>
      </c>
    </row>
    <row r="751" spans="1:9" x14ac:dyDescent="0.4">
      <c r="A751" s="14">
        <v>43912</v>
      </c>
      <c r="B751" s="5">
        <v>84873</v>
      </c>
      <c r="C751" s="5" t="s">
        <v>19</v>
      </c>
      <c r="D751" s="5">
        <v>786</v>
      </c>
      <c r="E751" s="5">
        <v>1</v>
      </c>
      <c r="F751" s="5">
        <v>3</v>
      </c>
      <c r="G751" s="14">
        <v>34525</v>
      </c>
      <c r="H751" s="5">
        <v>712355</v>
      </c>
      <c r="I751" s="5" t="s">
        <v>17</v>
      </c>
    </row>
    <row r="752" spans="1:9" x14ac:dyDescent="0.4">
      <c r="A752" s="14">
        <v>43903</v>
      </c>
      <c r="B752" s="5">
        <v>68730</v>
      </c>
      <c r="C752" s="5" t="s">
        <v>32</v>
      </c>
      <c r="D752" s="5">
        <v>766</v>
      </c>
      <c r="E752" s="5">
        <v>3</v>
      </c>
      <c r="F752" s="5">
        <v>6</v>
      </c>
      <c r="G752" s="14">
        <v>29466</v>
      </c>
      <c r="H752" s="5">
        <v>590362</v>
      </c>
      <c r="I752" s="5" t="s">
        <v>14</v>
      </c>
    </row>
    <row r="753" spans="1:9" x14ac:dyDescent="0.4">
      <c r="A753" s="14">
        <v>43973</v>
      </c>
      <c r="B753" s="5">
        <v>99258</v>
      </c>
      <c r="C753" s="5" t="s">
        <v>26</v>
      </c>
      <c r="D753" s="5">
        <v>800</v>
      </c>
      <c r="E753" s="5">
        <v>1</v>
      </c>
      <c r="F753" s="5">
        <v>8</v>
      </c>
      <c r="G753" s="14">
        <v>29872</v>
      </c>
      <c r="H753" s="5">
        <v>644680</v>
      </c>
      <c r="I753" s="5" t="s">
        <v>10</v>
      </c>
    </row>
    <row r="754" spans="1:9" x14ac:dyDescent="0.4">
      <c r="A754" s="14">
        <v>44097</v>
      </c>
      <c r="B754" s="5">
        <v>86342</v>
      </c>
      <c r="C754" s="5" t="s">
        <v>26</v>
      </c>
      <c r="D754" s="5">
        <v>712</v>
      </c>
      <c r="E754" s="5">
        <v>2</v>
      </c>
      <c r="F754" s="5">
        <v>1</v>
      </c>
      <c r="G754" s="14">
        <v>34642</v>
      </c>
      <c r="H754" s="5">
        <v>520268</v>
      </c>
      <c r="I754" s="5" t="s">
        <v>10</v>
      </c>
    </row>
    <row r="755" spans="1:9" x14ac:dyDescent="0.4">
      <c r="A755" s="14">
        <v>43992</v>
      </c>
      <c r="B755" s="5">
        <v>39613</v>
      </c>
      <c r="C755" s="5" t="s">
        <v>22</v>
      </c>
      <c r="D755" s="5">
        <v>778</v>
      </c>
      <c r="E755" s="5">
        <v>2</v>
      </c>
      <c r="F755" s="5">
        <v>10</v>
      </c>
      <c r="G755" s="14">
        <v>30720</v>
      </c>
      <c r="H755" s="5">
        <v>991520</v>
      </c>
      <c r="I755" s="5" t="s">
        <v>10</v>
      </c>
    </row>
    <row r="756" spans="1:9" x14ac:dyDescent="0.4">
      <c r="A756" s="14">
        <v>43855</v>
      </c>
      <c r="B756" s="5">
        <v>34129</v>
      </c>
      <c r="C756" s="5" t="s">
        <v>27</v>
      </c>
      <c r="D756" s="5">
        <v>784</v>
      </c>
      <c r="E756" s="5">
        <v>3</v>
      </c>
      <c r="F756" s="5">
        <v>1</v>
      </c>
      <c r="G756" s="14">
        <v>30229</v>
      </c>
      <c r="H756" s="5">
        <v>946533</v>
      </c>
      <c r="I756" s="5" t="s">
        <v>14</v>
      </c>
    </row>
    <row r="757" spans="1:9" x14ac:dyDescent="0.4">
      <c r="A757" s="14">
        <v>44002</v>
      </c>
      <c r="B757" s="5">
        <v>14333</v>
      </c>
      <c r="C757" s="5" t="s">
        <v>20</v>
      </c>
      <c r="D757" s="5">
        <v>791</v>
      </c>
      <c r="E757" s="5">
        <v>3</v>
      </c>
      <c r="F757" s="5">
        <v>8</v>
      </c>
      <c r="G757" s="14">
        <v>31920</v>
      </c>
      <c r="H757" s="5">
        <v>637256</v>
      </c>
      <c r="I757" s="5" t="s">
        <v>10</v>
      </c>
    </row>
    <row r="758" spans="1:9" x14ac:dyDescent="0.4">
      <c r="A758" s="14">
        <v>44044</v>
      </c>
      <c r="B758" s="5">
        <v>55712</v>
      </c>
      <c r="C758" s="5" t="s">
        <v>27</v>
      </c>
      <c r="D758" s="5">
        <v>717</v>
      </c>
      <c r="E758" s="5">
        <v>4</v>
      </c>
      <c r="F758" s="5">
        <v>8</v>
      </c>
      <c r="G758" s="14">
        <v>32090</v>
      </c>
      <c r="H758" s="5">
        <v>926315</v>
      </c>
      <c r="I758" s="5" t="s">
        <v>10</v>
      </c>
    </row>
    <row r="759" spans="1:9" x14ac:dyDescent="0.4">
      <c r="A759" s="14">
        <v>43951</v>
      </c>
      <c r="B759" s="5">
        <v>43140</v>
      </c>
      <c r="C759" s="5" t="s">
        <v>23</v>
      </c>
      <c r="D759" s="5">
        <v>790</v>
      </c>
      <c r="E759" s="5">
        <v>1</v>
      </c>
      <c r="F759" s="5">
        <v>10</v>
      </c>
      <c r="G759" s="14">
        <v>33446</v>
      </c>
      <c r="H759" s="5">
        <v>690767</v>
      </c>
      <c r="I759" s="5" t="s">
        <v>14</v>
      </c>
    </row>
    <row r="760" spans="1:9" x14ac:dyDescent="0.4">
      <c r="A760" s="14">
        <v>44134</v>
      </c>
      <c r="B760" s="5">
        <v>67409</v>
      </c>
      <c r="C760" s="5" t="s">
        <v>33</v>
      </c>
      <c r="D760" s="5">
        <v>738</v>
      </c>
      <c r="E760" s="5">
        <v>1</v>
      </c>
      <c r="F760" s="5">
        <v>1</v>
      </c>
      <c r="G760" s="14">
        <v>34316</v>
      </c>
      <c r="H760" s="5">
        <v>588039</v>
      </c>
      <c r="I760" s="5" t="s">
        <v>14</v>
      </c>
    </row>
    <row r="761" spans="1:9" x14ac:dyDescent="0.4">
      <c r="A761" s="14">
        <v>43950</v>
      </c>
      <c r="B761" s="5">
        <v>42015</v>
      </c>
      <c r="C761" s="5" t="s">
        <v>13</v>
      </c>
      <c r="D761" s="5">
        <v>715</v>
      </c>
      <c r="E761" s="5">
        <v>5</v>
      </c>
      <c r="F761" s="5">
        <v>3</v>
      </c>
      <c r="G761" s="14">
        <v>32851</v>
      </c>
      <c r="H761" s="5">
        <v>951265</v>
      </c>
      <c r="I761" s="5" t="s">
        <v>10</v>
      </c>
    </row>
    <row r="762" spans="1:9" x14ac:dyDescent="0.4">
      <c r="A762" s="14">
        <v>44122</v>
      </c>
      <c r="B762" s="5">
        <v>87945</v>
      </c>
      <c r="C762" s="5" t="s">
        <v>16</v>
      </c>
      <c r="D762" s="5">
        <v>704</v>
      </c>
      <c r="E762" s="5">
        <v>2</v>
      </c>
      <c r="F762" s="5">
        <v>3</v>
      </c>
      <c r="G762" s="14">
        <v>29519</v>
      </c>
      <c r="H762" s="5">
        <v>735776</v>
      </c>
      <c r="I762" s="5" t="s">
        <v>17</v>
      </c>
    </row>
    <row r="763" spans="1:9" x14ac:dyDescent="0.4">
      <c r="A763" s="14">
        <v>43972</v>
      </c>
      <c r="B763" s="5">
        <v>51552</v>
      </c>
      <c r="C763" s="5" t="s">
        <v>29</v>
      </c>
      <c r="D763" s="5">
        <v>776</v>
      </c>
      <c r="E763" s="5">
        <v>2</v>
      </c>
      <c r="F763" s="5">
        <v>10</v>
      </c>
      <c r="G763" s="14">
        <v>30936</v>
      </c>
      <c r="H763" s="5">
        <v>962906</v>
      </c>
      <c r="I763" s="5" t="s">
        <v>17</v>
      </c>
    </row>
    <row r="764" spans="1:9" x14ac:dyDescent="0.4">
      <c r="A764" s="14">
        <v>44168</v>
      </c>
      <c r="B764" s="5">
        <v>56716</v>
      </c>
      <c r="C764" s="5" t="s">
        <v>12</v>
      </c>
      <c r="D764" s="5">
        <v>784</v>
      </c>
      <c r="E764" s="5">
        <v>5</v>
      </c>
      <c r="F764" s="5">
        <v>10</v>
      </c>
      <c r="G764" s="14">
        <v>33368</v>
      </c>
      <c r="H764" s="5">
        <v>845891</v>
      </c>
      <c r="I764" s="5" t="s">
        <v>14</v>
      </c>
    </row>
    <row r="765" spans="1:9" x14ac:dyDescent="0.4">
      <c r="A765" s="14">
        <v>43834</v>
      </c>
      <c r="B765" s="5">
        <v>25193</v>
      </c>
      <c r="C765" s="5" t="s">
        <v>26</v>
      </c>
      <c r="D765" s="5">
        <v>721</v>
      </c>
      <c r="E765" s="5">
        <v>2</v>
      </c>
      <c r="F765" s="5">
        <v>3</v>
      </c>
      <c r="G765" s="14">
        <v>31808</v>
      </c>
      <c r="H765" s="5">
        <v>717802</v>
      </c>
      <c r="I765" s="5" t="s">
        <v>17</v>
      </c>
    </row>
    <row r="766" spans="1:9" x14ac:dyDescent="0.4">
      <c r="A766" s="14">
        <v>43902</v>
      </c>
      <c r="B766" s="5">
        <v>15531</v>
      </c>
      <c r="C766" s="5" t="s">
        <v>27</v>
      </c>
      <c r="D766" s="5">
        <v>783</v>
      </c>
      <c r="E766" s="5">
        <v>5</v>
      </c>
      <c r="F766" s="5">
        <v>8</v>
      </c>
      <c r="G766" s="14">
        <v>32137</v>
      </c>
      <c r="H766" s="5">
        <v>945602</v>
      </c>
      <c r="I766" s="5" t="s">
        <v>17</v>
      </c>
    </row>
    <row r="767" spans="1:9" x14ac:dyDescent="0.4">
      <c r="A767" s="14">
        <v>43856</v>
      </c>
      <c r="B767" s="5">
        <v>14820</v>
      </c>
      <c r="C767" s="5" t="s">
        <v>16</v>
      </c>
      <c r="D767" s="5">
        <v>784</v>
      </c>
      <c r="E767" s="5">
        <v>2</v>
      </c>
      <c r="F767" s="5">
        <v>6</v>
      </c>
      <c r="G767" s="14">
        <v>33720</v>
      </c>
      <c r="H767" s="5">
        <v>959169</v>
      </c>
      <c r="I767" s="5" t="s">
        <v>14</v>
      </c>
    </row>
    <row r="768" spans="1:9" x14ac:dyDescent="0.4">
      <c r="A768" s="14">
        <v>43877</v>
      </c>
      <c r="B768" s="5">
        <v>94706</v>
      </c>
      <c r="C768" s="5" t="s">
        <v>29</v>
      </c>
      <c r="D768" s="5">
        <v>718</v>
      </c>
      <c r="E768" s="5">
        <v>1</v>
      </c>
      <c r="F768" s="5">
        <v>2</v>
      </c>
      <c r="G768" s="14">
        <v>32325</v>
      </c>
      <c r="H768" s="5">
        <v>765265</v>
      </c>
      <c r="I768" s="5" t="s">
        <v>17</v>
      </c>
    </row>
    <row r="769" spans="1:9" x14ac:dyDescent="0.4">
      <c r="A769" s="14">
        <v>43992</v>
      </c>
      <c r="B769" s="5">
        <v>18287</v>
      </c>
      <c r="C769" s="5" t="s">
        <v>19</v>
      </c>
      <c r="D769" s="5">
        <v>703</v>
      </c>
      <c r="E769" s="5">
        <v>3</v>
      </c>
      <c r="F769" s="5">
        <v>3</v>
      </c>
      <c r="G769" s="14">
        <v>31477</v>
      </c>
      <c r="H769" s="5">
        <v>651096</v>
      </c>
      <c r="I769" s="5" t="s">
        <v>14</v>
      </c>
    </row>
    <row r="770" spans="1:9" x14ac:dyDescent="0.4">
      <c r="A770" s="14">
        <v>44101</v>
      </c>
      <c r="B770" s="5">
        <v>33013</v>
      </c>
      <c r="C770" s="5" t="s">
        <v>22</v>
      </c>
      <c r="D770" s="5">
        <v>766</v>
      </c>
      <c r="E770" s="5">
        <v>4</v>
      </c>
      <c r="F770" s="5">
        <v>10</v>
      </c>
      <c r="G770" s="14">
        <v>33006</v>
      </c>
      <c r="H770" s="5">
        <v>609677</v>
      </c>
      <c r="I770" s="5" t="s">
        <v>17</v>
      </c>
    </row>
    <row r="771" spans="1:9" x14ac:dyDescent="0.4">
      <c r="A771" s="14">
        <v>43938</v>
      </c>
      <c r="B771" s="5">
        <v>71151</v>
      </c>
      <c r="C771" s="5" t="s">
        <v>24</v>
      </c>
      <c r="D771" s="5">
        <v>737</v>
      </c>
      <c r="E771" s="5">
        <v>1</v>
      </c>
      <c r="F771" s="5">
        <v>10</v>
      </c>
      <c r="G771" s="14">
        <v>31120</v>
      </c>
      <c r="H771" s="5">
        <v>582154</v>
      </c>
      <c r="I771" s="5" t="s">
        <v>17</v>
      </c>
    </row>
    <row r="772" spans="1:9" x14ac:dyDescent="0.4">
      <c r="A772" s="14">
        <v>44081</v>
      </c>
      <c r="B772" s="5">
        <v>77027</v>
      </c>
      <c r="C772" s="5" t="s">
        <v>34</v>
      </c>
      <c r="D772" s="5">
        <v>783</v>
      </c>
      <c r="E772" s="5">
        <v>2</v>
      </c>
      <c r="F772" s="5">
        <v>1</v>
      </c>
      <c r="G772" s="14">
        <v>29243</v>
      </c>
      <c r="H772" s="5">
        <v>773882</v>
      </c>
      <c r="I772" s="5" t="s">
        <v>14</v>
      </c>
    </row>
    <row r="773" spans="1:9" x14ac:dyDescent="0.4">
      <c r="A773" s="14">
        <v>43888</v>
      </c>
      <c r="B773" s="5">
        <v>66416</v>
      </c>
      <c r="C773" s="5" t="s">
        <v>26</v>
      </c>
      <c r="D773" s="5">
        <v>715</v>
      </c>
      <c r="E773" s="5">
        <v>2</v>
      </c>
      <c r="F773" s="5">
        <v>9</v>
      </c>
      <c r="G773" s="14">
        <v>31122</v>
      </c>
      <c r="H773" s="5">
        <v>599224</v>
      </c>
      <c r="I773" s="5" t="s">
        <v>14</v>
      </c>
    </row>
    <row r="774" spans="1:9" x14ac:dyDescent="0.4">
      <c r="A774" s="14">
        <v>43859</v>
      </c>
      <c r="B774" s="5">
        <v>56294</v>
      </c>
      <c r="C774" s="5" t="s">
        <v>19</v>
      </c>
      <c r="D774" s="5">
        <v>711</v>
      </c>
      <c r="E774" s="5">
        <v>3</v>
      </c>
      <c r="F774" s="5">
        <v>10</v>
      </c>
      <c r="G774" s="14">
        <v>30925</v>
      </c>
      <c r="H774" s="5">
        <v>765713</v>
      </c>
      <c r="I774" s="5" t="s">
        <v>10</v>
      </c>
    </row>
    <row r="775" spans="1:9" x14ac:dyDescent="0.4">
      <c r="A775" s="14">
        <v>43891</v>
      </c>
      <c r="B775" s="5">
        <v>44734</v>
      </c>
      <c r="C775" s="5" t="s">
        <v>34</v>
      </c>
      <c r="D775" s="5">
        <v>796</v>
      </c>
      <c r="E775" s="5">
        <v>1</v>
      </c>
      <c r="F775" s="5">
        <v>6</v>
      </c>
      <c r="G775" s="14">
        <v>33274</v>
      </c>
      <c r="H775" s="5">
        <v>776281</v>
      </c>
      <c r="I775" s="5" t="s">
        <v>14</v>
      </c>
    </row>
    <row r="776" spans="1:9" x14ac:dyDescent="0.4">
      <c r="A776" s="14">
        <v>44043</v>
      </c>
      <c r="B776" s="5">
        <v>78090</v>
      </c>
      <c r="C776" s="5" t="s">
        <v>30</v>
      </c>
      <c r="D776" s="5">
        <v>779</v>
      </c>
      <c r="E776" s="5">
        <v>4</v>
      </c>
      <c r="F776" s="5">
        <v>1</v>
      </c>
      <c r="G776" s="14">
        <v>30549</v>
      </c>
      <c r="H776" s="5">
        <v>511371</v>
      </c>
      <c r="I776" s="5" t="s">
        <v>10</v>
      </c>
    </row>
    <row r="777" spans="1:9" x14ac:dyDescent="0.4">
      <c r="A777" s="14">
        <v>44089</v>
      </c>
      <c r="B777" s="5">
        <v>96451</v>
      </c>
      <c r="C777" s="5" t="s">
        <v>18</v>
      </c>
      <c r="D777" s="5">
        <v>732</v>
      </c>
      <c r="E777" s="5">
        <v>4</v>
      </c>
      <c r="F777" s="5">
        <v>5</v>
      </c>
      <c r="G777" s="14">
        <v>33790</v>
      </c>
      <c r="H777" s="5">
        <v>948797</v>
      </c>
      <c r="I777" s="5" t="s">
        <v>14</v>
      </c>
    </row>
    <row r="778" spans="1:9" x14ac:dyDescent="0.4">
      <c r="A778" s="14">
        <v>43982</v>
      </c>
      <c r="B778" s="5">
        <v>18301</v>
      </c>
      <c r="C778" s="5" t="s">
        <v>28</v>
      </c>
      <c r="D778" s="5">
        <v>700</v>
      </c>
      <c r="E778" s="5">
        <v>5</v>
      </c>
      <c r="F778" s="5">
        <v>10</v>
      </c>
      <c r="G778" s="14">
        <v>33548</v>
      </c>
      <c r="H778" s="5">
        <v>532162</v>
      </c>
      <c r="I778" s="5" t="s">
        <v>10</v>
      </c>
    </row>
    <row r="779" spans="1:9" x14ac:dyDescent="0.4">
      <c r="A779" s="14">
        <v>43983</v>
      </c>
      <c r="B779" s="5">
        <v>46301</v>
      </c>
      <c r="C779" s="5" t="s">
        <v>34</v>
      </c>
      <c r="D779" s="5">
        <v>789</v>
      </c>
      <c r="E779" s="5">
        <v>2</v>
      </c>
      <c r="F779" s="5">
        <v>3</v>
      </c>
      <c r="G779" s="14">
        <v>32434</v>
      </c>
      <c r="H779" s="5">
        <v>522574</v>
      </c>
      <c r="I779" s="5" t="s">
        <v>17</v>
      </c>
    </row>
    <row r="780" spans="1:9" x14ac:dyDescent="0.4">
      <c r="A780" s="14">
        <v>43978</v>
      </c>
      <c r="B780" s="5">
        <v>79812</v>
      </c>
      <c r="C780" s="5" t="s">
        <v>25</v>
      </c>
      <c r="D780" s="5">
        <v>703</v>
      </c>
      <c r="E780" s="5">
        <v>2</v>
      </c>
      <c r="F780" s="5">
        <v>6</v>
      </c>
      <c r="G780" s="14">
        <v>31042</v>
      </c>
      <c r="H780" s="5">
        <v>749612</v>
      </c>
      <c r="I780" s="5" t="s">
        <v>10</v>
      </c>
    </row>
    <row r="781" spans="1:9" x14ac:dyDescent="0.4">
      <c r="A781" s="14">
        <v>44123</v>
      </c>
      <c r="B781" s="5">
        <v>29381</v>
      </c>
      <c r="C781" s="5" t="s">
        <v>34</v>
      </c>
      <c r="D781" s="5">
        <v>762</v>
      </c>
      <c r="E781" s="5">
        <v>3</v>
      </c>
      <c r="F781" s="5">
        <v>4</v>
      </c>
      <c r="G781" s="14">
        <v>31540</v>
      </c>
      <c r="H781" s="5">
        <v>856227</v>
      </c>
      <c r="I781" s="5" t="s">
        <v>10</v>
      </c>
    </row>
    <row r="782" spans="1:9" x14ac:dyDescent="0.4">
      <c r="A782" s="14">
        <v>43965</v>
      </c>
      <c r="B782" s="5">
        <v>49301</v>
      </c>
      <c r="C782" s="5" t="s">
        <v>35</v>
      </c>
      <c r="D782" s="5">
        <v>760</v>
      </c>
      <c r="E782" s="5">
        <v>5</v>
      </c>
      <c r="F782" s="5">
        <v>3</v>
      </c>
      <c r="G782" s="14">
        <v>32442</v>
      </c>
      <c r="H782" s="5">
        <v>930103</v>
      </c>
      <c r="I782" s="5" t="s">
        <v>10</v>
      </c>
    </row>
    <row r="783" spans="1:9" x14ac:dyDescent="0.4">
      <c r="A783" s="14">
        <v>44017</v>
      </c>
      <c r="B783" s="5">
        <v>27484</v>
      </c>
      <c r="C783" s="5" t="s">
        <v>22</v>
      </c>
      <c r="D783" s="5">
        <v>792</v>
      </c>
      <c r="E783" s="5">
        <v>3</v>
      </c>
      <c r="F783" s="5">
        <v>7</v>
      </c>
      <c r="G783" s="14">
        <v>29627</v>
      </c>
      <c r="H783" s="5">
        <v>894228</v>
      </c>
      <c r="I783" s="5" t="s">
        <v>10</v>
      </c>
    </row>
    <row r="784" spans="1:9" x14ac:dyDescent="0.4">
      <c r="A784" s="14">
        <v>43991</v>
      </c>
      <c r="B784" s="5">
        <v>22173</v>
      </c>
      <c r="C784" s="5" t="s">
        <v>31</v>
      </c>
      <c r="D784" s="5">
        <v>730</v>
      </c>
      <c r="E784" s="5">
        <v>5</v>
      </c>
      <c r="F784" s="5">
        <v>9</v>
      </c>
      <c r="G784" s="14">
        <v>33541</v>
      </c>
      <c r="H784" s="5">
        <v>606031</v>
      </c>
      <c r="I784" s="5" t="s">
        <v>14</v>
      </c>
    </row>
    <row r="785" spans="1:9" x14ac:dyDescent="0.4">
      <c r="A785" s="14">
        <v>44037</v>
      </c>
      <c r="B785" s="5">
        <v>54376</v>
      </c>
      <c r="C785" s="5" t="s">
        <v>31</v>
      </c>
      <c r="D785" s="5">
        <v>788</v>
      </c>
      <c r="E785" s="5">
        <v>2</v>
      </c>
      <c r="F785" s="5">
        <v>10</v>
      </c>
      <c r="G785" s="14">
        <v>32432</v>
      </c>
      <c r="H785" s="5">
        <v>826701</v>
      </c>
      <c r="I785" s="5" t="s">
        <v>17</v>
      </c>
    </row>
    <row r="786" spans="1:9" x14ac:dyDescent="0.4">
      <c r="A786" s="14">
        <v>43975</v>
      </c>
      <c r="B786" s="5">
        <v>65661</v>
      </c>
      <c r="C786" s="5" t="s">
        <v>30</v>
      </c>
      <c r="D786" s="5">
        <v>735</v>
      </c>
      <c r="E786" s="5">
        <v>3</v>
      </c>
      <c r="F786" s="5">
        <v>5</v>
      </c>
      <c r="G786" s="14">
        <v>33407</v>
      </c>
      <c r="H786" s="5">
        <v>669792</v>
      </c>
      <c r="I786" s="5" t="s">
        <v>17</v>
      </c>
    </row>
    <row r="787" spans="1:9" x14ac:dyDescent="0.4">
      <c r="A787" s="14">
        <v>44149</v>
      </c>
      <c r="B787" s="5">
        <v>61481</v>
      </c>
      <c r="C787" s="5" t="s">
        <v>15</v>
      </c>
      <c r="D787" s="5">
        <v>722</v>
      </c>
      <c r="E787" s="5">
        <v>1</v>
      </c>
      <c r="F787" s="5">
        <v>9</v>
      </c>
      <c r="G787" s="14">
        <v>32968</v>
      </c>
      <c r="H787" s="5">
        <v>875570</v>
      </c>
      <c r="I787" s="5" t="s">
        <v>10</v>
      </c>
    </row>
    <row r="788" spans="1:9" x14ac:dyDescent="0.4">
      <c r="A788" s="14">
        <v>43832</v>
      </c>
      <c r="B788" s="5">
        <v>94928</v>
      </c>
      <c r="C788" s="5" t="s">
        <v>24</v>
      </c>
      <c r="D788" s="5">
        <v>767</v>
      </c>
      <c r="E788" s="5">
        <v>4</v>
      </c>
      <c r="F788" s="5">
        <v>8</v>
      </c>
      <c r="G788" s="14">
        <v>30824</v>
      </c>
      <c r="H788" s="5">
        <v>646484</v>
      </c>
      <c r="I788" s="5" t="s">
        <v>14</v>
      </c>
    </row>
    <row r="789" spans="1:9" x14ac:dyDescent="0.4">
      <c r="A789" s="14">
        <v>44004</v>
      </c>
      <c r="B789" s="5">
        <v>40486</v>
      </c>
      <c r="C789" s="5" t="s">
        <v>31</v>
      </c>
      <c r="D789" s="5">
        <v>759</v>
      </c>
      <c r="E789" s="5">
        <v>5</v>
      </c>
      <c r="F789" s="5">
        <v>3</v>
      </c>
      <c r="G789" s="14">
        <v>30944</v>
      </c>
      <c r="H789" s="5">
        <v>668078</v>
      </c>
      <c r="I789" s="5" t="s">
        <v>10</v>
      </c>
    </row>
    <row r="790" spans="1:9" x14ac:dyDescent="0.4">
      <c r="A790" s="14">
        <v>43907</v>
      </c>
      <c r="B790" s="5">
        <v>64958</v>
      </c>
      <c r="C790" s="5" t="s">
        <v>23</v>
      </c>
      <c r="D790" s="5">
        <v>754</v>
      </c>
      <c r="E790" s="5">
        <v>5</v>
      </c>
      <c r="F790" s="5">
        <v>4</v>
      </c>
      <c r="G790" s="14">
        <v>30595</v>
      </c>
      <c r="H790" s="5">
        <v>937616</v>
      </c>
      <c r="I790" s="5" t="s">
        <v>17</v>
      </c>
    </row>
    <row r="791" spans="1:9" x14ac:dyDescent="0.4">
      <c r="A791" s="14">
        <v>44087</v>
      </c>
      <c r="B791" s="5">
        <v>70729</v>
      </c>
      <c r="C791" s="5" t="s">
        <v>34</v>
      </c>
      <c r="D791" s="5">
        <v>764</v>
      </c>
      <c r="E791" s="5">
        <v>5</v>
      </c>
      <c r="F791" s="5">
        <v>6</v>
      </c>
      <c r="G791" s="14">
        <v>33367</v>
      </c>
      <c r="H791" s="5">
        <v>677063</v>
      </c>
      <c r="I791" s="5" t="s">
        <v>14</v>
      </c>
    </row>
    <row r="792" spans="1:9" x14ac:dyDescent="0.4">
      <c r="A792" s="14">
        <v>44163</v>
      </c>
      <c r="B792" s="5">
        <v>96414</v>
      </c>
      <c r="C792" s="5" t="s">
        <v>19</v>
      </c>
      <c r="D792" s="5">
        <v>745</v>
      </c>
      <c r="E792" s="5">
        <v>5</v>
      </c>
      <c r="F792" s="5">
        <v>9</v>
      </c>
      <c r="G792" s="14">
        <v>32930</v>
      </c>
      <c r="H792" s="5">
        <v>803817</v>
      </c>
      <c r="I792" s="5" t="s">
        <v>10</v>
      </c>
    </row>
    <row r="793" spans="1:9" x14ac:dyDescent="0.4">
      <c r="A793" s="14">
        <v>44045</v>
      </c>
      <c r="B793" s="5">
        <v>33677</v>
      </c>
      <c r="C793" s="5" t="s">
        <v>24</v>
      </c>
      <c r="D793" s="5">
        <v>782</v>
      </c>
      <c r="E793" s="5">
        <v>4</v>
      </c>
      <c r="F793" s="5">
        <v>6</v>
      </c>
      <c r="G793" s="14">
        <v>33809</v>
      </c>
      <c r="H793" s="5">
        <v>821477</v>
      </c>
      <c r="I793" s="5" t="s">
        <v>14</v>
      </c>
    </row>
    <row r="794" spans="1:9" x14ac:dyDescent="0.4">
      <c r="A794" s="14">
        <v>44008</v>
      </c>
      <c r="B794" s="5">
        <v>58063</v>
      </c>
      <c r="C794" s="5" t="s">
        <v>34</v>
      </c>
      <c r="D794" s="5">
        <v>765</v>
      </c>
      <c r="E794" s="5">
        <v>2</v>
      </c>
      <c r="F794" s="5">
        <v>9</v>
      </c>
      <c r="G794" s="14">
        <v>30256</v>
      </c>
      <c r="H794" s="5">
        <v>657984</v>
      </c>
      <c r="I794" s="5" t="s">
        <v>14</v>
      </c>
    </row>
    <row r="795" spans="1:9" x14ac:dyDescent="0.4">
      <c r="A795" s="14">
        <v>44131</v>
      </c>
      <c r="B795" s="5">
        <v>81615</v>
      </c>
      <c r="C795" s="5" t="s">
        <v>11</v>
      </c>
      <c r="D795" s="5">
        <v>712</v>
      </c>
      <c r="E795" s="5">
        <v>3</v>
      </c>
      <c r="F795" s="5">
        <v>2</v>
      </c>
      <c r="G795" s="14">
        <v>29945</v>
      </c>
      <c r="H795" s="5">
        <v>679377</v>
      </c>
      <c r="I795" s="5" t="s">
        <v>17</v>
      </c>
    </row>
    <row r="796" spans="1:9" x14ac:dyDescent="0.4">
      <c r="A796" s="14">
        <v>43989</v>
      </c>
      <c r="B796" s="5">
        <v>20244</v>
      </c>
      <c r="C796" s="5" t="s">
        <v>31</v>
      </c>
      <c r="D796" s="5">
        <v>767</v>
      </c>
      <c r="E796" s="5">
        <v>1</v>
      </c>
      <c r="F796" s="5">
        <v>10</v>
      </c>
      <c r="G796" s="14">
        <v>33963</v>
      </c>
      <c r="H796" s="5">
        <v>962286</v>
      </c>
      <c r="I796" s="5" t="s">
        <v>14</v>
      </c>
    </row>
    <row r="797" spans="1:9" x14ac:dyDescent="0.4">
      <c r="A797" s="14">
        <v>43962</v>
      </c>
      <c r="B797" s="5">
        <v>97648</v>
      </c>
      <c r="C797" s="5" t="s">
        <v>13</v>
      </c>
      <c r="D797" s="5">
        <v>775</v>
      </c>
      <c r="E797" s="5">
        <v>3</v>
      </c>
      <c r="F797" s="5">
        <v>9</v>
      </c>
      <c r="G797" s="14">
        <v>33174</v>
      </c>
      <c r="H797" s="5">
        <v>860215</v>
      </c>
      <c r="I797" s="5" t="s">
        <v>17</v>
      </c>
    </row>
    <row r="798" spans="1:9" x14ac:dyDescent="0.4">
      <c r="A798" s="14">
        <v>44051</v>
      </c>
      <c r="B798" s="5">
        <v>50647</v>
      </c>
      <c r="C798" s="5" t="s">
        <v>16</v>
      </c>
      <c r="D798" s="5">
        <v>753</v>
      </c>
      <c r="E798" s="5">
        <v>5</v>
      </c>
      <c r="F798" s="5">
        <v>2</v>
      </c>
      <c r="G798" s="14">
        <v>31077</v>
      </c>
      <c r="H798" s="5">
        <v>522681</v>
      </c>
      <c r="I798" s="5" t="s">
        <v>14</v>
      </c>
    </row>
    <row r="799" spans="1:9" x14ac:dyDescent="0.4">
      <c r="A799" s="14">
        <v>43856</v>
      </c>
      <c r="B799" s="5">
        <v>13236</v>
      </c>
      <c r="C799" s="5" t="s">
        <v>28</v>
      </c>
      <c r="D799" s="5">
        <v>728</v>
      </c>
      <c r="E799" s="5">
        <v>2</v>
      </c>
      <c r="F799" s="5">
        <v>3</v>
      </c>
      <c r="G799" s="14">
        <v>32176</v>
      </c>
      <c r="H799" s="5">
        <v>555277</v>
      </c>
      <c r="I799" s="5" t="s">
        <v>10</v>
      </c>
    </row>
    <row r="800" spans="1:9" x14ac:dyDescent="0.4">
      <c r="A800" s="14">
        <v>44018</v>
      </c>
      <c r="B800" s="5">
        <v>61444</v>
      </c>
      <c r="C800" s="5" t="s">
        <v>19</v>
      </c>
      <c r="D800" s="5">
        <v>783</v>
      </c>
      <c r="E800" s="5">
        <v>1</v>
      </c>
      <c r="F800" s="5">
        <v>2</v>
      </c>
      <c r="G800" s="14">
        <v>30644</v>
      </c>
      <c r="H800" s="5">
        <v>857148</v>
      </c>
      <c r="I800" s="5" t="s">
        <v>10</v>
      </c>
    </row>
    <row r="801" spans="1:9" x14ac:dyDescent="0.4">
      <c r="A801" s="14">
        <v>44004</v>
      </c>
      <c r="B801" s="5">
        <v>26611</v>
      </c>
      <c r="C801" s="5" t="s">
        <v>19</v>
      </c>
      <c r="D801" s="5">
        <v>726</v>
      </c>
      <c r="E801" s="5">
        <v>5</v>
      </c>
      <c r="F801" s="5">
        <v>3</v>
      </c>
      <c r="G801" s="14">
        <v>29721</v>
      </c>
      <c r="H801" s="5">
        <v>870214</v>
      </c>
      <c r="I801" s="5" t="s">
        <v>14</v>
      </c>
    </row>
    <row r="802" spans="1:9" x14ac:dyDescent="0.4">
      <c r="A802" s="14">
        <v>44023</v>
      </c>
      <c r="B802" s="5">
        <v>91537</v>
      </c>
      <c r="C802" s="5" t="s">
        <v>29</v>
      </c>
      <c r="D802" s="5">
        <v>756</v>
      </c>
      <c r="E802" s="5">
        <v>5</v>
      </c>
      <c r="F802" s="5">
        <v>2</v>
      </c>
      <c r="G802" s="14">
        <v>33289</v>
      </c>
      <c r="H802" s="5">
        <v>627376</v>
      </c>
      <c r="I802" s="5" t="s">
        <v>10</v>
      </c>
    </row>
    <row r="803" spans="1:9" x14ac:dyDescent="0.4">
      <c r="A803" s="14">
        <v>44128</v>
      </c>
      <c r="B803" s="5">
        <v>32099</v>
      </c>
      <c r="C803" s="5" t="s">
        <v>30</v>
      </c>
      <c r="D803" s="5">
        <v>756</v>
      </c>
      <c r="E803" s="5">
        <v>4</v>
      </c>
      <c r="F803" s="5">
        <v>10</v>
      </c>
      <c r="G803" s="14">
        <v>30878</v>
      </c>
      <c r="H803" s="5">
        <v>954359</v>
      </c>
      <c r="I803" s="5" t="s">
        <v>17</v>
      </c>
    </row>
    <row r="804" spans="1:9" x14ac:dyDescent="0.4">
      <c r="A804" s="14">
        <v>43975</v>
      </c>
      <c r="B804" s="5">
        <v>28619</v>
      </c>
      <c r="C804" s="5" t="s">
        <v>22</v>
      </c>
      <c r="D804" s="5">
        <v>704</v>
      </c>
      <c r="E804" s="5">
        <v>4</v>
      </c>
      <c r="F804" s="5">
        <v>1</v>
      </c>
      <c r="G804" s="14">
        <v>31759</v>
      </c>
      <c r="H804" s="5">
        <v>646469</v>
      </c>
      <c r="I804" s="5" t="s">
        <v>10</v>
      </c>
    </row>
    <row r="805" spans="1:9" x14ac:dyDescent="0.4">
      <c r="A805" s="14">
        <v>44055</v>
      </c>
      <c r="B805" s="5">
        <v>20711</v>
      </c>
      <c r="C805" s="5" t="s">
        <v>33</v>
      </c>
      <c r="D805" s="5">
        <v>761</v>
      </c>
      <c r="E805" s="5">
        <v>1</v>
      </c>
      <c r="F805" s="5">
        <v>2</v>
      </c>
      <c r="G805" s="14">
        <v>32288</v>
      </c>
      <c r="H805" s="5">
        <v>826223</v>
      </c>
      <c r="I805" s="5" t="s">
        <v>17</v>
      </c>
    </row>
    <row r="806" spans="1:9" x14ac:dyDescent="0.4">
      <c r="A806" s="14">
        <v>44037</v>
      </c>
      <c r="B806" s="5">
        <v>75218</v>
      </c>
      <c r="C806" s="5" t="s">
        <v>20</v>
      </c>
      <c r="D806" s="5">
        <v>713</v>
      </c>
      <c r="E806" s="5">
        <v>2</v>
      </c>
      <c r="F806" s="5">
        <v>5</v>
      </c>
      <c r="G806" s="14">
        <v>32879</v>
      </c>
      <c r="H806" s="5">
        <v>876627</v>
      </c>
      <c r="I806" s="5" t="s">
        <v>10</v>
      </c>
    </row>
    <row r="807" spans="1:9" x14ac:dyDescent="0.4">
      <c r="A807" s="14">
        <v>44025</v>
      </c>
      <c r="B807" s="5">
        <v>22308</v>
      </c>
      <c r="C807" s="5" t="s">
        <v>12</v>
      </c>
      <c r="D807" s="5">
        <v>782</v>
      </c>
      <c r="E807" s="5">
        <v>3</v>
      </c>
      <c r="F807" s="5">
        <v>4</v>
      </c>
      <c r="G807" s="14">
        <v>29641</v>
      </c>
      <c r="H807" s="5">
        <v>695501</v>
      </c>
      <c r="I807" s="5" t="s">
        <v>17</v>
      </c>
    </row>
    <row r="808" spans="1:9" x14ac:dyDescent="0.4">
      <c r="A808" s="14">
        <v>43951</v>
      </c>
      <c r="B808" s="5">
        <v>40929</v>
      </c>
      <c r="C808" s="5" t="s">
        <v>28</v>
      </c>
      <c r="D808" s="5">
        <v>718</v>
      </c>
      <c r="E808" s="5">
        <v>1</v>
      </c>
      <c r="F808" s="5">
        <v>3</v>
      </c>
      <c r="G808" s="14">
        <v>32493</v>
      </c>
      <c r="H808" s="5">
        <v>533267</v>
      </c>
      <c r="I808" s="5" t="s">
        <v>17</v>
      </c>
    </row>
    <row r="809" spans="1:9" x14ac:dyDescent="0.4">
      <c r="A809" s="14">
        <v>43877</v>
      </c>
      <c r="B809" s="5">
        <v>57724</v>
      </c>
      <c r="C809" s="5" t="s">
        <v>23</v>
      </c>
      <c r="D809" s="5">
        <v>786</v>
      </c>
      <c r="E809" s="5">
        <v>5</v>
      </c>
      <c r="F809" s="5">
        <v>1</v>
      </c>
      <c r="G809" s="14">
        <v>30305</v>
      </c>
      <c r="H809" s="5">
        <v>887534</v>
      </c>
      <c r="I809" s="5" t="s">
        <v>14</v>
      </c>
    </row>
    <row r="810" spans="1:9" x14ac:dyDescent="0.4">
      <c r="A810" s="14">
        <v>44082</v>
      </c>
      <c r="B810" s="5">
        <v>97800</v>
      </c>
      <c r="C810" s="5" t="s">
        <v>21</v>
      </c>
      <c r="D810" s="5">
        <v>763</v>
      </c>
      <c r="E810" s="5">
        <v>3</v>
      </c>
      <c r="F810" s="5">
        <v>4</v>
      </c>
      <c r="G810" s="14">
        <v>29873</v>
      </c>
      <c r="H810" s="5">
        <v>861672</v>
      </c>
      <c r="I810" s="5" t="s">
        <v>14</v>
      </c>
    </row>
    <row r="811" spans="1:9" x14ac:dyDescent="0.4">
      <c r="A811" s="14">
        <v>44112</v>
      </c>
      <c r="B811" s="5">
        <v>11126</v>
      </c>
      <c r="C811" s="5" t="s">
        <v>11</v>
      </c>
      <c r="D811" s="5">
        <v>777</v>
      </c>
      <c r="E811" s="5">
        <v>5</v>
      </c>
      <c r="F811" s="5">
        <v>1</v>
      </c>
      <c r="G811" s="14">
        <v>32739</v>
      </c>
      <c r="H811" s="5">
        <v>672213</v>
      </c>
      <c r="I811" s="5" t="s">
        <v>14</v>
      </c>
    </row>
    <row r="812" spans="1:9" x14ac:dyDescent="0.4">
      <c r="A812" s="14">
        <v>44055</v>
      </c>
      <c r="B812" s="5">
        <v>94574</v>
      </c>
      <c r="C812" s="5" t="s">
        <v>30</v>
      </c>
      <c r="D812" s="5">
        <v>720</v>
      </c>
      <c r="E812" s="5">
        <v>5</v>
      </c>
      <c r="F812" s="5">
        <v>9</v>
      </c>
      <c r="G812" s="14">
        <v>33508</v>
      </c>
      <c r="H812" s="5">
        <v>906952</v>
      </c>
      <c r="I812" s="5" t="s">
        <v>14</v>
      </c>
    </row>
    <row r="813" spans="1:9" x14ac:dyDescent="0.4">
      <c r="A813" s="14">
        <v>44092</v>
      </c>
      <c r="B813" s="5">
        <v>16350</v>
      </c>
      <c r="C813" s="5" t="s">
        <v>27</v>
      </c>
      <c r="D813" s="5">
        <v>716</v>
      </c>
      <c r="E813" s="5">
        <v>5</v>
      </c>
      <c r="F813" s="5">
        <v>10</v>
      </c>
      <c r="G813" s="14">
        <v>30795</v>
      </c>
      <c r="H813" s="5">
        <v>821944</v>
      </c>
      <c r="I813" s="5" t="s">
        <v>10</v>
      </c>
    </row>
    <row r="814" spans="1:9" x14ac:dyDescent="0.4">
      <c r="A814" s="14">
        <v>43962</v>
      </c>
      <c r="B814" s="5">
        <v>82645</v>
      </c>
      <c r="C814" s="5" t="s">
        <v>34</v>
      </c>
      <c r="D814" s="5">
        <v>743</v>
      </c>
      <c r="E814" s="5">
        <v>3</v>
      </c>
      <c r="F814" s="5">
        <v>1</v>
      </c>
      <c r="G814" s="14">
        <v>29308</v>
      </c>
      <c r="H814" s="5">
        <v>680862</v>
      </c>
      <c r="I814" s="5" t="s">
        <v>14</v>
      </c>
    </row>
    <row r="815" spans="1:9" x14ac:dyDescent="0.4">
      <c r="A815" s="14">
        <v>44144</v>
      </c>
      <c r="B815" s="5">
        <v>38073</v>
      </c>
      <c r="C815" s="5" t="s">
        <v>33</v>
      </c>
      <c r="D815" s="5">
        <v>798</v>
      </c>
      <c r="E815" s="5">
        <v>3</v>
      </c>
      <c r="F815" s="5">
        <v>3</v>
      </c>
      <c r="G815" s="14">
        <v>31743</v>
      </c>
      <c r="H815" s="5">
        <v>693830</v>
      </c>
      <c r="I815" s="5" t="s">
        <v>17</v>
      </c>
    </row>
    <row r="816" spans="1:9" x14ac:dyDescent="0.4">
      <c r="A816" s="14">
        <v>44160</v>
      </c>
      <c r="B816" s="5">
        <v>14716</v>
      </c>
      <c r="C816" s="5" t="s">
        <v>13</v>
      </c>
      <c r="D816" s="5">
        <v>745</v>
      </c>
      <c r="E816" s="5">
        <v>1</v>
      </c>
      <c r="F816" s="5">
        <v>5</v>
      </c>
      <c r="G816" s="14">
        <v>31667</v>
      </c>
      <c r="H816" s="5">
        <v>777241</v>
      </c>
      <c r="I816" s="5" t="s">
        <v>17</v>
      </c>
    </row>
    <row r="817" spans="1:9" x14ac:dyDescent="0.4">
      <c r="A817" s="14">
        <v>43978</v>
      </c>
      <c r="B817" s="5">
        <v>81159</v>
      </c>
      <c r="C817" s="5" t="s">
        <v>20</v>
      </c>
      <c r="D817" s="5">
        <v>763</v>
      </c>
      <c r="E817" s="5">
        <v>3</v>
      </c>
      <c r="F817" s="5">
        <v>9</v>
      </c>
      <c r="G817" s="14">
        <v>30101</v>
      </c>
      <c r="H817" s="5">
        <v>975228</v>
      </c>
      <c r="I817" s="5" t="s">
        <v>10</v>
      </c>
    </row>
    <row r="818" spans="1:9" x14ac:dyDescent="0.4">
      <c r="A818" s="14">
        <v>44031</v>
      </c>
      <c r="B818" s="5">
        <v>53880</v>
      </c>
      <c r="C818" s="5" t="s">
        <v>20</v>
      </c>
      <c r="D818" s="5">
        <v>701</v>
      </c>
      <c r="E818" s="5">
        <v>5</v>
      </c>
      <c r="F818" s="5">
        <v>7</v>
      </c>
      <c r="G818" s="14">
        <v>30664</v>
      </c>
      <c r="H818" s="5">
        <v>771214</v>
      </c>
      <c r="I818" s="5" t="s">
        <v>17</v>
      </c>
    </row>
    <row r="819" spans="1:9" x14ac:dyDescent="0.4">
      <c r="A819" s="14">
        <v>44008</v>
      </c>
      <c r="B819" s="5">
        <v>99629</v>
      </c>
      <c r="C819" s="5" t="s">
        <v>12</v>
      </c>
      <c r="D819" s="5">
        <v>740</v>
      </c>
      <c r="E819" s="5">
        <v>2</v>
      </c>
      <c r="F819" s="5">
        <v>10</v>
      </c>
      <c r="G819" s="14">
        <v>33645</v>
      </c>
      <c r="H819" s="5">
        <v>565545</v>
      </c>
      <c r="I819" s="5" t="s">
        <v>14</v>
      </c>
    </row>
    <row r="820" spans="1:9" x14ac:dyDescent="0.4">
      <c r="A820" s="14">
        <v>44012</v>
      </c>
      <c r="B820" s="5">
        <v>24234</v>
      </c>
      <c r="C820" s="5" t="s">
        <v>24</v>
      </c>
      <c r="D820" s="5">
        <v>747</v>
      </c>
      <c r="E820" s="5">
        <v>3</v>
      </c>
      <c r="F820" s="5">
        <v>10</v>
      </c>
      <c r="G820" s="14">
        <v>33916</v>
      </c>
      <c r="H820" s="5">
        <v>765449</v>
      </c>
      <c r="I820" s="5" t="s">
        <v>10</v>
      </c>
    </row>
    <row r="821" spans="1:9" x14ac:dyDescent="0.4">
      <c r="A821" s="14">
        <v>43942</v>
      </c>
      <c r="B821" s="5">
        <v>31539</v>
      </c>
      <c r="C821" s="5" t="s">
        <v>9</v>
      </c>
      <c r="D821" s="5">
        <v>790</v>
      </c>
      <c r="E821" s="5">
        <v>1</v>
      </c>
      <c r="F821" s="5">
        <v>7</v>
      </c>
      <c r="G821" s="14">
        <v>31065</v>
      </c>
      <c r="H821" s="5">
        <v>682740</v>
      </c>
      <c r="I821" s="5" t="s">
        <v>17</v>
      </c>
    </row>
    <row r="822" spans="1:9" x14ac:dyDescent="0.4">
      <c r="A822" s="14">
        <v>44088</v>
      </c>
      <c r="B822" s="5">
        <v>81827</v>
      </c>
      <c r="C822" s="5" t="s">
        <v>13</v>
      </c>
      <c r="D822" s="5">
        <v>785</v>
      </c>
      <c r="E822" s="5">
        <v>5</v>
      </c>
      <c r="F822" s="5">
        <v>3</v>
      </c>
      <c r="G822" s="14">
        <v>31495</v>
      </c>
      <c r="H822" s="5">
        <v>980836</v>
      </c>
      <c r="I822" s="5" t="s">
        <v>14</v>
      </c>
    </row>
    <row r="823" spans="1:9" x14ac:dyDescent="0.4">
      <c r="A823" s="14">
        <v>44153</v>
      </c>
      <c r="B823" s="5">
        <v>45458</v>
      </c>
      <c r="C823" s="5" t="s">
        <v>33</v>
      </c>
      <c r="D823" s="5">
        <v>755</v>
      </c>
      <c r="E823" s="5">
        <v>1</v>
      </c>
      <c r="F823" s="5">
        <v>7</v>
      </c>
      <c r="G823" s="14">
        <v>32748</v>
      </c>
      <c r="H823" s="5">
        <v>689069</v>
      </c>
      <c r="I823" s="5" t="s">
        <v>17</v>
      </c>
    </row>
    <row r="824" spans="1:9" x14ac:dyDescent="0.4">
      <c r="A824" s="14">
        <v>43918</v>
      </c>
      <c r="B824" s="5">
        <v>67627</v>
      </c>
      <c r="C824" s="5" t="s">
        <v>16</v>
      </c>
      <c r="D824" s="5">
        <v>729</v>
      </c>
      <c r="E824" s="5">
        <v>3</v>
      </c>
      <c r="F824" s="5">
        <v>1</v>
      </c>
      <c r="G824" s="14">
        <v>33925</v>
      </c>
      <c r="H824" s="5">
        <v>806247</v>
      </c>
      <c r="I824" s="5" t="s">
        <v>14</v>
      </c>
    </row>
    <row r="825" spans="1:9" x14ac:dyDescent="0.4">
      <c r="A825" s="14">
        <v>44072</v>
      </c>
      <c r="B825" s="5">
        <v>72047</v>
      </c>
      <c r="C825" s="5" t="s">
        <v>15</v>
      </c>
      <c r="D825" s="5">
        <v>705</v>
      </c>
      <c r="E825" s="5">
        <v>4</v>
      </c>
      <c r="F825" s="5">
        <v>1</v>
      </c>
      <c r="G825" s="14">
        <v>32386</v>
      </c>
      <c r="H825" s="5">
        <v>804174</v>
      </c>
      <c r="I825" s="5" t="s">
        <v>17</v>
      </c>
    </row>
    <row r="826" spans="1:9" x14ac:dyDescent="0.4">
      <c r="A826" s="14">
        <v>44078</v>
      </c>
      <c r="B826" s="5">
        <v>93155</v>
      </c>
      <c r="C826" s="5" t="s">
        <v>15</v>
      </c>
      <c r="D826" s="5">
        <v>798</v>
      </c>
      <c r="E826" s="5">
        <v>2</v>
      </c>
      <c r="F826" s="5">
        <v>8</v>
      </c>
      <c r="G826" s="14">
        <v>33352</v>
      </c>
      <c r="H826" s="5">
        <v>966413</v>
      </c>
      <c r="I826" s="5" t="s">
        <v>17</v>
      </c>
    </row>
    <row r="827" spans="1:9" x14ac:dyDescent="0.4">
      <c r="A827" s="14">
        <v>43902</v>
      </c>
      <c r="B827" s="5">
        <v>80058</v>
      </c>
      <c r="C827" s="5" t="s">
        <v>16</v>
      </c>
      <c r="D827" s="5">
        <v>795</v>
      </c>
      <c r="E827" s="5">
        <v>4</v>
      </c>
      <c r="F827" s="5">
        <v>6</v>
      </c>
      <c r="G827" s="14">
        <v>29279</v>
      </c>
      <c r="H827" s="5">
        <v>617424</v>
      </c>
      <c r="I827" s="5" t="s">
        <v>14</v>
      </c>
    </row>
    <row r="828" spans="1:9" x14ac:dyDescent="0.4">
      <c r="A828" s="14">
        <v>43900</v>
      </c>
      <c r="B828" s="5">
        <v>79415</v>
      </c>
      <c r="C828" s="5" t="s">
        <v>9</v>
      </c>
      <c r="D828" s="5">
        <v>750</v>
      </c>
      <c r="E828" s="5">
        <v>4</v>
      </c>
      <c r="F828" s="5">
        <v>8</v>
      </c>
      <c r="G828" s="14">
        <v>32526</v>
      </c>
      <c r="H828" s="5">
        <v>539918</v>
      </c>
      <c r="I828" s="5" t="s">
        <v>17</v>
      </c>
    </row>
    <row r="829" spans="1:9" x14ac:dyDescent="0.4">
      <c r="A829" s="14">
        <v>43905</v>
      </c>
      <c r="B829" s="5">
        <v>46354</v>
      </c>
      <c r="C829" s="5" t="s">
        <v>32</v>
      </c>
      <c r="D829" s="5">
        <v>700</v>
      </c>
      <c r="E829" s="5">
        <v>3</v>
      </c>
      <c r="F829" s="5">
        <v>3</v>
      </c>
      <c r="G829" s="14">
        <v>31617</v>
      </c>
      <c r="H829" s="5">
        <v>598644</v>
      </c>
      <c r="I829" s="5" t="s">
        <v>14</v>
      </c>
    </row>
    <row r="830" spans="1:9" x14ac:dyDescent="0.4">
      <c r="A830" s="14">
        <v>43946</v>
      </c>
      <c r="B830" s="5">
        <v>12868</v>
      </c>
      <c r="C830" s="5" t="s">
        <v>33</v>
      </c>
      <c r="D830" s="5">
        <v>747</v>
      </c>
      <c r="E830" s="5">
        <v>4</v>
      </c>
      <c r="F830" s="5">
        <v>9</v>
      </c>
      <c r="G830" s="14">
        <v>34470</v>
      </c>
      <c r="H830" s="5">
        <v>624403</v>
      </c>
      <c r="I830" s="5" t="s">
        <v>10</v>
      </c>
    </row>
    <row r="831" spans="1:9" x14ac:dyDescent="0.4">
      <c r="A831" s="14">
        <v>44127</v>
      </c>
      <c r="B831" s="5">
        <v>54769</v>
      </c>
      <c r="C831" s="5" t="s">
        <v>16</v>
      </c>
      <c r="D831" s="5">
        <v>732</v>
      </c>
      <c r="E831" s="5">
        <v>2</v>
      </c>
      <c r="F831" s="5">
        <v>3</v>
      </c>
      <c r="G831" s="14">
        <v>30740</v>
      </c>
      <c r="H831" s="5">
        <v>788050</v>
      </c>
      <c r="I831" s="5" t="s">
        <v>17</v>
      </c>
    </row>
    <row r="832" spans="1:9" x14ac:dyDescent="0.4">
      <c r="A832" s="14">
        <v>43985</v>
      </c>
      <c r="B832" s="5">
        <v>18483</v>
      </c>
      <c r="C832" s="5" t="s">
        <v>20</v>
      </c>
      <c r="D832" s="5">
        <v>800</v>
      </c>
      <c r="E832" s="5">
        <v>2</v>
      </c>
      <c r="F832" s="5">
        <v>6</v>
      </c>
      <c r="G832" s="14">
        <v>31976</v>
      </c>
      <c r="H832" s="5">
        <v>707675</v>
      </c>
      <c r="I832" s="5" t="s">
        <v>10</v>
      </c>
    </row>
    <row r="833" spans="1:9" x14ac:dyDescent="0.4">
      <c r="A833" s="14">
        <v>43932</v>
      </c>
      <c r="B833" s="5">
        <v>78797</v>
      </c>
      <c r="C833" s="5" t="s">
        <v>13</v>
      </c>
      <c r="D833" s="5">
        <v>735</v>
      </c>
      <c r="E833" s="5">
        <v>5</v>
      </c>
      <c r="F833" s="5">
        <v>5</v>
      </c>
      <c r="G833" s="14">
        <v>31683</v>
      </c>
      <c r="H833" s="5">
        <v>832627</v>
      </c>
      <c r="I833" s="5" t="s">
        <v>10</v>
      </c>
    </row>
    <row r="834" spans="1:9" x14ac:dyDescent="0.4">
      <c r="A834" s="14">
        <v>44150</v>
      </c>
      <c r="B834" s="5">
        <v>32940</v>
      </c>
      <c r="C834" s="5" t="s">
        <v>30</v>
      </c>
      <c r="D834" s="5">
        <v>765</v>
      </c>
      <c r="E834" s="5">
        <v>1</v>
      </c>
      <c r="F834" s="5">
        <v>2</v>
      </c>
      <c r="G834" s="14">
        <v>31077</v>
      </c>
      <c r="H834" s="5">
        <v>804818</v>
      </c>
      <c r="I834" s="5" t="s">
        <v>10</v>
      </c>
    </row>
    <row r="835" spans="1:9" x14ac:dyDescent="0.4">
      <c r="A835" s="14">
        <v>44120</v>
      </c>
      <c r="B835" s="5">
        <v>54381</v>
      </c>
      <c r="C835" s="5" t="s">
        <v>30</v>
      </c>
      <c r="D835" s="5">
        <v>798</v>
      </c>
      <c r="E835" s="5">
        <v>2</v>
      </c>
      <c r="F835" s="5">
        <v>2</v>
      </c>
      <c r="G835" s="14">
        <v>31447</v>
      </c>
      <c r="H835" s="5">
        <v>869201</v>
      </c>
      <c r="I835" s="5" t="s">
        <v>14</v>
      </c>
    </row>
    <row r="836" spans="1:9" x14ac:dyDescent="0.4">
      <c r="A836" s="14">
        <v>44049</v>
      </c>
      <c r="B836" s="5">
        <v>64344</v>
      </c>
      <c r="C836" s="5" t="s">
        <v>29</v>
      </c>
      <c r="D836" s="5">
        <v>701</v>
      </c>
      <c r="E836" s="5">
        <v>2</v>
      </c>
      <c r="F836" s="5">
        <v>10</v>
      </c>
      <c r="G836" s="14">
        <v>30634</v>
      </c>
      <c r="H836" s="5">
        <v>824500</v>
      </c>
      <c r="I836" s="5" t="s">
        <v>14</v>
      </c>
    </row>
    <row r="837" spans="1:9" x14ac:dyDescent="0.4">
      <c r="A837" s="14">
        <v>43900</v>
      </c>
      <c r="B837" s="5">
        <v>41689</v>
      </c>
      <c r="C837" s="5" t="s">
        <v>13</v>
      </c>
      <c r="D837" s="5">
        <v>714</v>
      </c>
      <c r="E837" s="5">
        <v>4</v>
      </c>
      <c r="F837" s="5">
        <v>5</v>
      </c>
      <c r="G837" s="14">
        <v>33171</v>
      </c>
      <c r="H837" s="5">
        <v>631899</v>
      </c>
      <c r="I837" s="5" t="s">
        <v>10</v>
      </c>
    </row>
    <row r="838" spans="1:9" x14ac:dyDescent="0.4">
      <c r="A838" s="14">
        <v>44131</v>
      </c>
      <c r="B838" s="5">
        <v>95894</v>
      </c>
      <c r="C838" s="5" t="s">
        <v>21</v>
      </c>
      <c r="D838" s="5">
        <v>715</v>
      </c>
      <c r="E838" s="5">
        <v>3</v>
      </c>
      <c r="F838" s="5">
        <v>8</v>
      </c>
      <c r="G838" s="14">
        <v>29414</v>
      </c>
      <c r="H838" s="5">
        <v>695967</v>
      </c>
      <c r="I838" s="5" t="s">
        <v>10</v>
      </c>
    </row>
    <row r="839" spans="1:9" x14ac:dyDescent="0.4">
      <c r="A839" s="14">
        <v>43894</v>
      </c>
      <c r="B839" s="5">
        <v>35780</v>
      </c>
      <c r="C839" s="5" t="s">
        <v>12</v>
      </c>
      <c r="D839" s="5">
        <v>763</v>
      </c>
      <c r="E839" s="5">
        <v>1</v>
      </c>
      <c r="F839" s="5">
        <v>7</v>
      </c>
      <c r="G839" s="14">
        <v>29809</v>
      </c>
      <c r="H839" s="5">
        <v>526782</v>
      </c>
      <c r="I839" s="5" t="s">
        <v>10</v>
      </c>
    </row>
    <row r="840" spans="1:9" x14ac:dyDescent="0.4">
      <c r="A840" s="14">
        <v>44019</v>
      </c>
      <c r="B840" s="5">
        <v>28120</v>
      </c>
      <c r="C840" s="5" t="s">
        <v>12</v>
      </c>
      <c r="D840" s="5">
        <v>735</v>
      </c>
      <c r="E840" s="5">
        <v>3</v>
      </c>
      <c r="F840" s="5">
        <v>3</v>
      </c>
      <c r="G840" s="14">
        <v>34055</v>
      </c>
      <c r="H840" s="5">
        <v>761956</v>
      </c>
      <c r="I840" s="5" t="s">
        <v>10</v>
      </c>
    </row>
    <row r="841" spans="1:9" x14ac:dyDescent="0.4">
      <c r="A841" s="14">
        <v>44151</v>
      </c>
      <c r="B841" s="5">
        <v>98400</v>
      </c>
      <c r="C841" s="5" t="s">
        <v>15</v>
      </c>
      <c r="D841" s="5">
        <v>728</v>
      </c>
      <c r="E841" s="5">
        <v>1</v>
      </c>
      <c r="F841" s="5">
        <v>3</v>
      </c>
      <c r="G841" s="14">
        <v>30365</v>
      </c>
      <c r="H841" s="5">
        <v>928898</v>
      </c>
      <c r="I841" s="5" t="s">
        <v>14</v>
      </c>
    </row>
    <row r="842" spans="1:9" x14ac:dyDescent="0.4">
      <c r="A842" s="14">
        <v>44019</v>
      </c>
      <c r="B842" s="5">
        <v>39285</v>
      </c>
      <c r="C842" s="5" t="s">
        <v>18</v>
      </c>
      <c r="D842" s="5">
        <v>800</v>
      </c>
      <c r="E842" s="5">
        <v>5</v>
      </c>
      <c r="F842" s="5">
        <v>1</v>
      </c>
      <c r="G842" s="14">
        <v>29484</v>
      </c>
      <c r="H842" s="5">
        <v>845711</v>
      </c>
      <c r="I842" s="5" t="s">
        <v>10</v>
      </c>
    </row>
    <row r="843" spans="1:9" x14ac:dyDescent="0.4">
      <c r="A843" s="14">
        <v>43919</v>
      </c>
      <c r="B843" s="5">
        <v>60601</v>
      </c>
      <c r="C843" s="5" t="s">
        <v>18</v>
      </c>
      <c r="D843" s="5">
        <v>718</v>
      </c>
      <c r="E843" s="5">
        <v>1</v>
      </c>
      <c r="F843" s="5">
        <v>9</v>
      </c>
      <c r="G843" s="14">
        <v>31507</v>
      </c>
      <c r="H843" s="5">
        <v>659772</v>
      </c>
      <c r="I843" s="5" t="s">
        <v>17</v>
      </c>
    </row>
    <row r="844" spans="1:9" x14ac:dyDescent="0.4">
      <c r="A844" s="14">
        <v>43846</v>
      </c>
      <c r="B844" s="5">
        <v>52124</v>
      </c>
      <c r="C844" s="5" t="s">
        <v>20</v>
      </c>
      <c r="D844" s="5">
        <v>704</v>
      </c>
      <c r="E844" s="5">
        <v>4</v>
      </c>
      <c r="F844" s="5">
        <v>4</v>
      </c>
      <c r="G844" s="14">
        <v>31406</v>
      </c>
      <c r="H844" s="5">
        <v>883451</v>
      </c>
      <c r="I844" s="5" t="s">
        <v>14</v>
      </c>
    </row>
    <row r="845" spans="1:9" x14ac:dyDescent="0.4">
      <c r="A845" s="14">
        <v>44137</v>
      </c>
      <c r="B845" s="5">
        <v>48906</v>
      </c>
      <c r="C845" s="5" t="s">
        <v>13</v>
      </c>
      <c r="D845" s="5">
        <v>764</v>
      </c>
      <c r="E845" s="5">
        <v>4</v>
      </c>
      <c r="F845" s="5">
        <v>3</v>
      </c>
      <c r="G845" s="14">
        <v>34265</v>
      </c>
      <c r="H845" s="5">
        <v>598402</v>
      </c>
      <c r="I845" s="5" t="s">
        <v>17</v>
      </c>
    </row>
    <row r="846" spans="1:9" x14ac:dyDescent="0.4">
      <c r="A846" s="14">
        <v>43984</v>
      </c>
      <c r="B846" s="5">
        <v>94013</v>
      </c>
      <c r="C846" s="5" t="s">
        <v>31</v>
      </c>
      <c r="D846" s="5">
        <v>746</v>
      </c>
      <c r="E846" s="5">
        <v>5</v>
      </c>
      <c r="F846" s="5">
        <v>3</v>
      </c>
      <c r="G846" s="14">
        <v>32525</v>
      </c>
      <c r="H846" s="5">
        <v>766825</v>
      </c>
      <c r="I846" s="5" t="s">
        <v>14</v>
      </c>
    </row>
    <row r="847" spans="1:9" x14ac:dyDescent="0.4">
      <c r="A847" s="14">
        <v>44139</v>
      </c>
      <c r="B847" s="5">
        <v>91564</v>
      </c>
      <c r="C847" s="5" t="s">
        <v>19</v>
      </c>
      <c r="D847" s="5">
        <v>733</v>
      </c>
      <c r="E847" s="5">
        <v>3</v>
      </c>
      <c r="F847" s="5">
        <v>3</v>
      </c>
      <c r="G847" s="14">
        <v>34270</v>
      </c>
      <c r="H847" s="5">
        <v>520185</v>
      </c>
      <c r="I847" s="5" t="s">
        <v>17</v>
      </c>
    </row>
    <row r="848" spans="1:9" x14ac:dyDescent="0.4">
      <c r="A848" s="14">
        <v>44095</v>
      </c>
      <c r="B848" s="5">
        <v>77571</v>
      </c>
      <c r="C848" s="5" t="s">
        <v>20</v>
      </c>
      <c r="D848" s="5">
        <v>768</v>
      </c>
      <c r="E848" s="5">
        <v>5</v>
      </c>
      <c r="F848" s="5">
        <v>3</v>
      </c>
      <c r="G848" s="14">
        <v>31253</v>
      </c>
      <c r="H848" s="5">
        <v>652693</v>
      </c>
      <c r="I848" s="5" t="s">
        <v>10</v>
      </c>
    </row>
    <row r="849" spans="1:9" x14ac:dyDescent="0.4">
      <c r="A849" s="14">
        <v>44012</v>
      </c>
      <c r="B849" s="5">
        <v>62920</v>
      </c>
      <c r="C849" s="5" t="s">
        <v>23</v>
      </c>
      <c r="D849" s="5">
        <v>797</v>
      </c>
      <c r="E849" s="5">
        <v>4</v>
      </c>
      <c r="F849" s="5">
        <v>1</v>
      </c>
      <c r="G849" s="14">
        <v>30886</v>
      </c>
      <c r="H849" s="5">
        <v>974604</v>
      </c>
      <c r="I849" s="5" t="s">
        <v>14</v>
      </c>
    </row>
    <row r="850" spans="1:9" x14ac:dyDescent="0.4">
      <c r="A850" s="14">
        <v>44081</v>
      </c>
      <c r="B850" s="5">
        <v>51657</v>
      </c>
      <c r="C850" s="5" t="s">
        <v>28</v>
      </c>
      <c r="D850" s="5">
        <v>700</v>
      </c>
      <c r="E850" s="5">
        <v>3</v>
      </c>
      <c r="F850" s="5">
        <v>10</v>
      </c>
      <c r="G850" s="14">
        <v>34373</v>
      </c>
      <c r="H850" s="5">
        <v>652556</v>
      </c>
      <c r="I850" s="5" t="s">
        <v>10</v>
      </c>
    </row>
    <row r="851" spans="1:9" x14ac:dyDescent="0.4">
      <c r="A851" s="14">
        <v>44057</v>
      </c>
      <c r="B851" s="5">
        <v>27189</v>
      </c>
      <c r="C851" s="5" t="s">
        <v>18</v>
      </c>
      <c r="D851" s="5">
        <v>792</v>
      </c>
      <c r="E851" s="5">
        <v>5</v>
      </c>
      <c r="F851" s="5">
        <v>8</v>
      </c>
      <c r="G851" s="14">
        <v>29534</v>
      </c>
      <c r="H851" s="5">
        <v>981713</v>
      </c>
      <c r="I851" s="5" t="s">
        <v>14</v>
      </c>
    </row>
    <row r="852" spans="1:9" x14ac:dyDescent="0.4">
      <c r="A852" s="14">
        <v>43896</v>
      </c>
      <c r="B852" s="5">
        <v>95814</v>
      </c>
      <c r="C852" s="5" t="s">
        <v>26</v>
      </c>
      <c r="D852" s="5">
        <v>780</v>
      </c>
      <c r="E852" s="5">
        <v>3</v>
      </c>
      <c r="F852" s="5">
        <v>7</v>
      </c>
      <c r="G852" s="14">
        <v>29333</v>
      </c>
      <c r="H852" s="5">
        <v>825297</v>
      </c>
      <c r="I852" s="5" t="s">
        <v>14</v>
      </c>
    </row>
    <row r="853" spans="1:9" x14ac:dyDescent="0.4">
      <c r="A853" s="14">
        <v>43990</v>
      </c>
      <c r="B853" s="5">
        <v>56624</v>
      </c>
      <c r="C853" s="5" t="s">
        <v>11</v>
      </c>
      <c r="D853" s="5">
        <v>732</v>
      </c>
      <c r="E853" s="5">
        <v>4</v>
      </c>
      <c r="F853" s="5">
        <v>9</v>
      </c>
      <c r="G853" s="14">
        <v>30587</v>
      </c>
      <c r="H853" s="5">
        <v>848351</v>
      </c>
      <c r="I853" s="5" t="s">
        <v>17</v>
      </c>
    </row>
    <row r="854" spans="1:9" x14ac:dyDescent="0.4">
      <c r="A854" s="14">
        <v>44034</v>
      </c>
      <c r="B854" s="5">
        <v>60042</v>
      </c>
      <c r="C854" s="5" t="s">
        <v>28</v>
      </c>
      <c r="D854" s="5">
        <v>775</v>
      </c>
      <c r="E854" s="5">
        <v>5</v>
      </c>
      <c r="F854" s="5">
        <v>8</v>
      </c>
      <c r="G854" s="14">
        <v>29659</v>
      </c>
      <c r="H854" s="5">
        <v>777439</v>
      </c>
      <c r="I854" s="5" t="s">
        <v>10</v>
      </c>
    </row>
    <row r="855" spans="1:9" x14ac:dyDescent="0.4">
      <c r="A855" s="14">
        <v>43834</v>
      </c>
      <c r="B855" s="5">
        <v>54677</v>
      </c>
      <c r="C855" s="5" t="s">
        <v>9</v>
      </c>
      <c r="D855" s="5">
        <v>775</v>
      </c>
      <c r="E855" s="5">
        <v>2</v>
      </c>
      <c r="F855" s="5">
        <v>9</v>
      </c>
      <c r="G855" s="14">
        <v>32175</v>
      </c>
      <c r="H855" s="5">
        <v>792628</v>
      </c>
      <c r="I855" s="5" t="s">
        <v>14</v>
      </c>
    </row>
    <row r="856" spans="1:9" x14ac:dyDescent="0.4">
      <c r="A856" s="14">
        <v>44019</v>
      </c>
      <c r="B856" s="5">
        <v>95702</v>
      </c>
      <c r="C856" s="5" t="s">
        <v>13</v>
      </c>
      <c r="D856" s="5">
        <v>776</v>
      </c>
      <c r="E856" s="5">
        <v>1</v>
      </c>
      <c r="F856" s="5">
        <v>8</v>
      </c>
      <c r="G856" s="14">
        <v>29325</v>
      </c>
      <c r="H856" s="5">
        <v>849554</v>
      </c>
      <c r="I856" s="5" t="s">
        <v>14</v>
      </c>
    </row>
    <row r="857" spans="1:9" x14ac:dyDescent="0.4">
      <c r="A857" s="14">
        <v>44159</v>
      </c>
      <c r="B857" s="5">
        <v>33695</v>
      </c>
      <c r="C857" s="5" t="s">
        <v>24</v>
      </c>
      <c r="D857" s="5">
        <v>752</v>
      </c>
      <c r="E857" s="5">
        <v>4</v>
      </c>
      <c r="F857" s="5">
        <v>10</v>
      </c>
      <c r="G857" s="14">
        <v>30344</v>
      </c>
      <c r="H857" s="5">
        <v>542294</v>
      </c>
      <c r="I857" s="5" t="s">
        <v>14</v>
      </c>
    </row>
    <row r="858" spans="1:9" x14ac:dyDescent="0.4">
      <c r="A858" s="14">
        <v>44084</v>
      </c>
      <c r="B858" s="5">
        <v>60864</v>
      </c>
      <c r="C858" s="5" t="s">
        <v>25</v>
      </c>
      <c r="D858" s="5">
        <v>780</v>
      </c>
      <c r="E858" s="5">
        <v>2</v>
      </c>
      <c r="F858" s="5">
        <v>5</v>
      </c>
      <c r="G858" s="14">
        <v>29700</v>
      </c>
      <c r="H858" s="5">
        <v>701846</v>
      </c>
      <c r="I858" s="5" t="s">
        <v>17</v>
      </c>
    </row>
    <row r="859" spans="1:9" x14ac:dyDescent="0.4">
      <c r="A859" s="14">
        <v>44011</v>
      </c>
      <c r="B859" s="5">
        <v>85562</v>
      </c>
      <c r="C859" s="5" t="s">
        <v>26</v>
      </c>
      <c r="D859" s="5">
        <v>800</v>
      </c>
      <c r="E859" s="5">
        <v>3</v>
      </c>
      <c r="F859" s="5">
        <v>1</v>
      </c>
      <c r="G859" s="14">
        <v>33084</v>
      </c>
      <c r="H859" s="5">
        <v>714928</v>
      </c>
      <c r="I859" s="5" t="s">
        <v>14</v>
      </c>
    </row>
    <row r="860" spans="1:9" x14ac:dyDescent="0.4">
      <c r="A860" s="14">
        <v>43910</v>
      </c>
      <c r="B860" s="5">
        <v>95010</v>
      </c>
      <c r="C860" s="5" t="s">
        <v>34</v>
      </c>
      <c r="D860" s="5">
        <v>765</v>
      </c>
      <c r="E860" s="5">
        <v>1</v>
      </c>
      <c r="F860" s="5">
        <v>4</v>
      </c>
      <c r="G860" s="14">
        <v>34607</v>
      </c>
      <c r="H860" s="5">
        <v>649481</v>
      </c>
      <c r="I860" s="5" t="s">
        <v>17</v>
      </c>
    </row>
    <row r="861" spans="1:9" x14ac:dyDescent="0.4">
      <c r="A861" s="14">
        <v>43853</v>
      </c>
      <c r="B861" s="5">
        <v>89337</v>
      </c>
      <c r="C861" s="5" t="s">
        <v>28</v>
      </c>
      <c r="D861" s="5">
        <v>706</v>
      </c>
      <c r="E861" s="5">
        <v>1</v>
      </c>
      <c r="F861" s="5">
        <v>2</v>
      </c>
      <c r="G861" s="14">
        <v>32191</v>
      </c>
      <c r="H861" s="5">
        <v>818937</v>
      </c>
      <c r="I861" s="5" t="s">
        <v>17</v>
      </c>
    </row>
    <row r="862" spans="1:9" x14ac:dyDescent="0.4">
      <c r="A862" s="14">
        <v>44070</v>
      </c>
      <c r="B862" s="5">
        <v>80935</v>
      </c>
      <c r="C862" s="5" t="s">
        <v>29</v>
      </c>
      <c r="D862" s="5">
        <v>794</v>
      </c>
      <c r="E862" s="5">
        <v>1</v>
      </c>
      <c r="F862" s="5">
        <v>9</v>
      </c>
      <c r="G862" s="14">
        <v>33343</v>
      </c>
      <c r="H862" s="5">
        <v>836244</v>
      </c>
      <c r="I862" s="5" t="s">
        <v>10</v>
      </c>
    </row>
    <row r="863" spans="1:9" x14ac:dyDescent="0.4">
      <c r="A863" s="14">
        <v>43945</v>
      </c>
      <c r="B863" s="5">
        <v>91116</v>
      </c>
      <c r="C863" s="5" t="s">
        <v>32</v>
      </c>
      <c r="D863" s="5">
        <v>760</v>
      </c>
      <c r="E863" s="5">
        <v>5</v>
      </c>
      <c r="F863" s="5">
        <v>5</v>
      </c>
      <c r="G863" s="14">
        <v>29711</v>
      </c>
      <c r="H863" s="5">
        <v>976620</v>
      </c>
      <c r="I863" s="5" t="s">
        <v>10</v>
      </c>
    </row>
    <row r="864" spans="1:9" x14ac:dyDescent="0.4">
      <c r="A864" s="14">
        <v>43891</v>
      </c>
      <c r="B864" s="5">
        <v>91781</v>
      </c>
      <c r="C864" s="5" t="s">
        <v>32</v>
      </c>
      <c r="D864" s="5">
        <v>712</v>
      </c>
      <c r="E864" s="5">
        <v>2</v>
      </c>
      <c r="F864" s="5">
        <v>3</v>
      </c>
      <c r="G864" s="14">
        <v>34649</v>
      </c>
      <c r="H864" s="5">
        <v>688316</v>
      </c>
      <c r="I864" s="5" t="s">
        <v>17</v>
      </c>
    </row>
    <row r="865" spans="1:9" x14ac:dyDescent="0.4">
      <c r="A865" s="14">
        <v>43873</v>
      </c>
      <c r="B865" s="5">
        <v>31188</v>
      </c>
      <c r="C865" s="5" t="s">
        <v>26</v>
      </c>
      <c r="D865" s="5">
        <v>753</v>
      </c>
      <c r="E865" s="5">
        <v>1</v>
      </c>
      <c r="F865" s="5">
        <v>4</v>
      </c>
      <c r="G865" s="14">
        <v>33060</v>
      </c>
      <c r="H865" s="5">
        <v>507723</v>
      </c>
      <c r="I865" s="5" t="s">
        <v>14</v>
      </c>
    </row>
    <row r="866" spans="1:9" x14ac:dyDescent="0.4">
      <c r="A866" s="14">
        <v>43891</v>
      </c>
      <c r="B866" s="5">
        <v>90362</v>
      </c>
      <c r="C866" s="5" t="s">
        <v>23</v>
      </c>
      <c r="D866" s="5">
        <v>729</v>
      </c>
      <c r="E866" s="5">
        <v>2</v>
      </c>
      <c r="F866" s="5">
        <v>5</v>
      </c>
      <c r="G866" s="14">
        <v>30382</v>
      </c>
      <c r="H866" s="5">
        <v>950691</v>
      </c>
      <c r="I866" s="5" t="s">
        <v>10</v>
      </c>
    </row>
    <row r="867" spans="1:9" x14ac:dyDescent="0.4">
      <c r="A867" s="14">
        <v>44171</v>
      </c>
      <c r="B867" s="5">
        <v>13218</v>
      </c>
      <c r="C867" s="5" t="s">
        <v>9</v>
      </c>
      <c r="D867" s="5">
        <v>797</v>
      </c>
      <c r="E867" s="5">
        <v>3</v>
      </c>
      <c r="F867" s="5">
        <v>9</v>
      </c>
      <c r="G867" s="14">
        <v>32233</v>
      </c>
      <c r="H867" s="5">
        <v>905122</v>
      </c>
      <c r="I867" s="5" t="s">
        <v>10</v>
      </c>
    </row>
    <row r="868" spans="1:9" x14ac:dyDescent="0.4">
      <c r="A868" s="14">
        <v>43879</v>
      </c>
      <c r="B868" s="5">
        <v>32247</v>
      </c>
      <c r="C868" s="5" t="s">
        <v>18</v>
      </c>
      <c r="D868" s="5">
        <v>773</v>
      </c>
      <c r="E868" s="5">
        <v>2</v>
      </c>
      <c r="F868" s="5">
        <v>5</v>
      </c>
      <c r="G868" s="14">
        <v>31312</v>
      </c>
      <c r="H868" s="5">
        <v>620964</v>
      </c>
      <c r="I868" s="5" t="s">
        <v>14</v>
      </c>
    </row>
    <row r="869" spans="1:9" x14ac:dyDescent="0.4">
      <c r="A869" s="14">
        <v>44074</v>
      </c>
      <c r="B869" s="5">
        <v>54770</v>
      </c>
      <c r="C869" s="5" t="s">
        <v>28</v>
      </c>
      <c r="D869" s="5">
        <v>719</v>
      </c>
      <c r="E869" s="5">
        <v>5</v>
      </c>
      <c r="F869" s="5">
        <v>4</v>
      </c>
      <c r="G869" s="14">
        <v>30766</v>
      </c>
      <c r="H869" s="5">
        <v>888508</v>
      </c>
      <c r="I869" s="5" t="s">
        <v>14</v>
      </c>
    </row>
    <row r="870" spans="1:9" x14ac:dyDescent="0.4">
      <c r="A870" s="14">
        <v>44018</v>
      </c>
      <c r="B870" s="5">
        <v>15093</v>
      </c>
      <c r="C870" s="5" t="s">
        <v>24</v>
      </c>
      <c r="D870" s="5">
        <v>799</v>
      </c>
      <c r="E870" s="5">
        <v>3</v>
      </c>
      <c r="F870" s="5">
        <v>8</v>
      </c>
      <c r="G870" s="14">
        <v>30335</v>
      </c>
      <c r="H870" s="5">
        <v>878722</v>
      </c>
      <c r="I870" s="5" t="s">
        <v>10</v>
      </c>
    </row>
    <row r="871" spans="1:9" x14ac:dyDescent="0.4">
      <c r="A871" s="14">
        <v>44132</v>
      </c>
      <c r="B871" s="5">
        <v>41003</v>
      </c>
      <c r="C871" s="5" t="s">
        <v>21</v>
      </c>
      <c r="D871" s="5">
        <v>728</v>
      </c>
      <c r="E871" s="5">
        <v>1</v>
      </c>
      <c r="F871" s="5">
        <v>8</v>
      </c>
      <c r="G871" s="14">
        <v>34565</v>
      </c>
      <c r="H871" s="5">
        <v>840484</v>
      </c>
      <c r="I871" s="5" t="s">
        <v>10</v>
      </c>
    </row>
    <row r="872" spans="1:9" x14ac:dyDescent="0.4">
      <c r="A872" s="14">
        <v>43871</v>
      </c>
      <c r="B872" s="5">
        <v>71360</v>
      </c>
      <c r="C872" s="5" t="s">
        <v>34</v>
      </c>
      <c r="D872" s="5">
        <v>759</v>
      </c>
      <c r="E872" s="5">
        <v>1</v>
      </c>
      <c r="F872" s="5">
        <v>2</v>
      </c>
      <c r="G872" s="14">
        <v>32965</v>
      </c>
      <c r="H872" s="5">
        <v>549585</v>
      </c>
      <c r="I872" s="5" t="s">
        <v>14</v>
      </c>
    </row>
    <row r="873" spans="1:9" x14ac:dyDescent="0.4">
      <c r="A873" s="14">
        <v>44168</v>
      </c>
      <c r="B873" s="5">
        <v>81825</v>
      </c>
      <c r="C873" s="5" t="s">
        <v>15</v>
      </c>
      <c r="D873" s="5">
        <v>799</v>
      </c>
      <c r="E873" s="5">
        <v>4</v>
      </c>
      <c r="F873" s="5">
        <v>3</v>
      </c>
      <c r="G873" s="14">
        <v>34531</v>
      </c>
      <c r="H873" s="5">
        <v>536781</v>
      </c>
      <c r="I873" s="5" t="s">
        <v>14</v>
      </c>
    </row>
    <row r="874" spans="1:9" x14ac:dyDescent="0.4">
      <c r="A874" s="14">
        <v>43922</v>
      </c>
      <c r="B874" s="5">
        <v>51621</v>
      </c>
      <c r="C874" s="5" t="s">
        <v>26</v>
      </c>
      <c r="D874" s="5">
        <v>710</v>
      </c>
      <c r="E874" s="5">
        <v>4</v>
      </c>
      <c r="F874" s="5">
        <v>5</v>
      </c>
      <c r="G874" s="14">
        <v>32956</v>
      </c>
      <c r="H874" s="5">
        <v>595939</v>
      </c>
      <c r="I874" s="5" t="s">
        <v>10</v>
      </c>
    </row>
    <row r="875" spans="1:9" x14ac:dyDescent="0.4">
      <c r="A875" s="14">
        <v>43980</v>
      </c>
      <c r="B875" s="5">
        <v>80975</v>
      </c>
      <c r="C875" s="5" t="s">
        <v>12</v>
      </c>
      <c r="D875" s="5">
        <v>721</v>
      </c>
      <c r="E875" s="5">
        <v>5</v>
      </c>
      <c r="F875" s="5">
        <v>5</v>
      </c>
      <c r="G875" s="14">
        <v>29351</v>
      </c>
      <c r="H875" s="5">
        <v>566056</v>
      </c>
      <c r="I875" s="5" t="s">
        <v>10</v>
      </c>
    </row>
    <row r="876" spans="1:9" x14ac:dyDescent="0.4">
      <c r="A876" s="14">
        <v>43930</v>
      </c>
      <c r="B876" s="5">
        <v>51491</v>
      </c>
      <c r="C876" s="5" t="s">
        <v>9</v>
      </c>
      <c r="D876" s="5">
        <v>757</v>
      </c>
      <c r="E876" s="5">
        <v>5</v>
      </c>
      <c r="F876" s="5">
        <v>1</v>
      </c>
      <c r="G876" s="14">
        <v>33360</v>
      </c>
      <c r="H876" s="5">
        <v>986196</v>
      </c>
      <c r="I876" s="5" t="s">
        <v>14</v>
      </c>
    </row>
    <row r="877" spans="1:9" x14ac:dyDescent="0.4">
      <c r="A877" s="14">
        <v>43909</v>
      </c>
      <c r="B877" s="5">
        <v>69793</v>
      </c>
      <c r="C877" s="5" t="s">
        <v>30</v>
      </c>
      <c r="D877" s="5">
        <v>748</v>
      </c>
      <c r="E877" s="5">
        <v>5</v>
      </c>
      <c r="F877" s="5">
        <v>1</v>
      </c>
      <c r="G877" s="14">
        <v>32756</v>
      </c>
      <c r="H877" s="5">
        <v>813370</v>
      </c>
      <c r="I877" s="5" t="s">
        <v>10</v>
      </c>
    </row>
    <row r="878" spans="1:9" x14ac:dyDescent="0.4">
      <c r="A878" s="14">
        <v>44078</v>
      </c>
      <c r="B878" s="5">
        <v>39086</v>
      </c>
      <c r="C878" s="5" t="s">
        <v>33</v>
      </c>
      <c r="D878" s="5">
        <v>729</v>
      </c>
      <c r="E878" s="5">
        <v>3</v>
      </c>
      <c r="F878" s="5">
        <v>2</v>
      </c>
      <c r="G878" s="14">
        <v>34138</v>
      </c>
      <c r="H878" s="5">
        <v>556577</v>
      </c>
      <c r="I878" s="5" t="s">
        <v>10</v>
      </c>
    </row>
    <row r="879" spans="1:9" x14ac:dyDescent="0.4">
      <c r="A879" s="14">
        <v>44153</v>
      </c>
      <c r="B879" s="5">
        <v>23190</v>
      </c>
      <c r="C879" s="5" t="s">
        <v>23</v>
      </c>
      <c r="D879" s="5">
        <v>746</v>
      </c>
      <c r="E879" s="5">
        <v>3</v>
      </c>
      <c r="F879" s="5">
        <v>7</v>
      </c>
      <c r="G879" s="14">
        <v>31207</v>
      </c>
      <c r="H879" s="5">
        <v>690349</v>
      </c>
      <c r="I879" s="5" t="s">
        <v>10</v>
      </c>
    </row>
    <row r="880" spans="1:9" x14ac:dyDescent="0.4">
      <c r="A880" s="14">
        <v>44085</v>
      </c>
      <c r="B880" s="5">
        <v>76476</v>
      </c>
      <c r="C880" s="5" t="s">
        <v>26</v>
      </c>
      <c r="D880" s="5">
        <v>768</v>
      </c>
      <c r="E880" s="5">
        <v>2</v>
      </c>
      <c r="F880" s="5">
        <v>10</v>
      </c>
      <c r="G880" s="14">
        <v>30898</v>
      </c>
      <c r="H880" s="5">
        <v>935092</v>
      </c>
      <c r="I880" s="5" t="s">
        <v>17</v>
      </c>
    </row>
    <row r="881" spans="1:9" x14ac:dyDescent="0.4">
      <c r="A881" s="14">
        <v>43996</v>
      </c>
      <c r="B881" s="5">
        <v>60417</v>
      </c>
      <c r="C881" s="5" t="s">
        <v>13</v>
      </c>
      <c r="D881" s="5">
        <v>701</v>
      </c>
      <c r="E881" s="5">
        <v>1</v>
      </c>
      <c r="F881" s="5">
        <v>1</v>
      </c>
      <c r="G881" s="14">
        <v>34578</v>
      </c>
      <c r="H881" s="5">
        <v>966916</v>
      </c>
      <c r="I881" s="5" t="s">
        <v>14</v>
      </c>
    </row>
    <row r="882" spans="1:9" x14ac:dyDescent="0.4">
      <c r="A882" s="14">
        <v>44009</v>
      </c>
      <c r="B882" s="5">
        <v>49213</v>
      </c>
      <c r="C882" s="5" t="s">
        <v>35</v>
      </c>
      <c r="D882" s="5">
        <v>799</v>
      </c>
      <c r="E882" s="5">
        <v>1</v>
      </c>
      <c r="F882" s="5">
        <v>6</v>
      </c>
      <c r="G882" s="14">
        <v>33002</v>
      </c>
      <c r="H882" s="5">
        <v>501499</v>
      </c>
      <c r="I882" s="5" t="s">
        <v>10</v>
      </c>
    </row>
    <row r="883" spans="1:9" x14ac:dyDescent="0.4">
      <c r="A883" s="14">
        <v>43888</v>
      </c>
      <c r="B883" s="5">
        <v>62181</v>
      </c>
      <c r="C883" s="5" t="s">
        <v>28</v>
      </c>
      <c r="D883" s="5">
        <v>787</v>
      </c>
      <c r="E883" s="5">
        <v>1</v>
      </c>
      <c r="F883" s="5">
        <v>5</v>
      </c>
      <c r="G883" s="14">
        <v>32631</v>
      </c>
      <c r="H883" s="5">
        <v>518247</v>
      </c>
      <c r="I883" s="5" t="s">
        <v>17</v>
      </c>
    </row>
    <row r="884" spans="1:9" x14ac:dyDescent="0.4">
      <c r="A884" s="14">
        <v>43962</v>
      </c>
      <c r="B884" s="5">
        <v>34654</v>
      </c>
      <c r="C884" s="5" t="s">
        <v>20</v>
      </c>
      <c r="D884" s="5">
        <v>720</v>
      </c>
      <c r="E884" s="5">
        <v>2</v>
      </c>
      <c r="F884" s="5">
        <v>1</v>
      </c>
      <c r="G884" s="14">
        <v>29950</v>
      </c>
      <c r="H884" s="5">
        <v>865045</v>
      </c>
      <c r="I884" s="5" t="s">
        <v>14</v>
      </c>
    </row>
    <row r="885" spans="1:9" x14ac:dyDescent="0.4">
      <c r="A885" s="14">
        <v>43931</v>
      </c>
      <c r="B885" s="5">
        <v>46681</v>
      </c>
      <c r="C885" s="5" t="s">
        <v>18</v>
      </c>
      <c r="D885" s="5">
        <v>789</v>
      </c>
      <c r="E885" s="5">
        <v>1</v>
      </c>
      <c r="F885" s="5">
        <v>3</v>
      </c>
      <c r="G885" s="14">
        <v>34303</v>
      </c>
      <c r="H885" s="5">
        <v>731147</v>
      </c>
      <c r="I885" s="5" t="s">
        <v>14</v>
      </c>
    </row>
    <row r="886" spans="1:9" x14ac:dyDescent="0.4">
      <c r="A886" s="14">
        <v>44049</v>
      </c>
      <c r="B886" s="5">
        <v>60004</v>
      </c>
      <c r="C886" s="5" t="s">
        <v>18</v>
      </c>
      <c r="D886" s="5">
        <v>705</v>
      </c>
      <c r="E886" s="5">
        <v>3</v>
      </c>
      <c r="F886" s="5">
        <v>7</v>
      </c>
      <c r="G886" s="14">
        <v>31570</v>
      </c>
      <c r="H886" s="5">
        <v>791950</v>
      </c>
      <c r="I886" s="5" t="s">
        <v>14</v>
      </c>
    </row>
    <row r="887" spans="1:9" x14ac:dyDescent="0.4">
      <c r="A887" s="14">
        <v>44089</v>
      </c>
      <c r="B887" s="5">
        <v>67704</v>
      </c>
      <c r="C887" s="5" t="s">
        <v>22</v>
      </c>
      <c r="D887" s="5">
        <v>783</v>
      </c>
      <c r="E887" s="5">
        <v>5</v>
      </c>
      <c r="F887" s="5">
        <v>2</v>
      </c>
      <c r="G887" s="14">
        <v>32311</v>
      </c>
      <c r="H887" s="5">
        <v>911948</v>
      </c>
      <c r="I887" s="5" t="s">
        <v>10</v>
      </c>
    </row>
    <row r="888" spans="1:9" x14ac:dyDescent="0.4">
      <c r="A888" s="14">
        <v>43976</v>
      </c>
      <c r="B888" s="5">
        <v>39833</v>
      </c>
      <c r="C888" s="5" t="s">
        <v>9</v>
      </c>
      <c r="D888" s="5">
        <v>730</v>
      </c>
      <c r="E888" s="5">
        <v>4</v>
      </c>
      <c r="F888" s="5">
        <v>2</v>
      </c>
      <c r="G888" s="14">
        <v>33758</v>
      </c>
      <c r="H888" s="5">
        <v>932873</v>
      </c>
      <c r="I888" s="5" t="s">
        <v>10</v>
      </c>
    </row>
    <row r="889" spans="1:9" x14ac:dyDescent="0.4">
      <c r="A889" s="14">
        <v>43895</v>
      </c>
      <c r="B889" s="5">
        <v>20617</v>
      </c>
      <c r="C889" s="5" t="s">
        <v>30</v>
      </c>
      <c r="D889" s="5">
        <v>739</v>
      </c>
      <c r="E889" s="5">
        <v>3</v>
      </c>
      <c r="F889" s="5">
        <v>9</v>
      </c>
      <c r="G889" s="14">
        <v>34679</v>
      </c>
      <c r="H889" s="5">
        <v>805851</v>
      </c>
      <c r="I889" s="5" t="s">
        <v>10</v>
      </c>
    </row>
    <row r="890" spans="1:9" x14ac:dyDescent="0.4">
      <c r="A890" s="14">
        <v>43923</v>
      </c>
      <c r="B890" s="5">
        <v>29950</v>
      </c>
      <c r="C890" s="5" t="s">
        <v>33</v>
      </c>
      <c r="D890" s="5">
        <v>784</v>
      </c>
      <c r="E890" s="5">
        <v>2</v>
      </c>
      <c r="F890" s="5">
        <v>3</v>
      </c>
      <c r="G890" s="14">
        <v>30618</v>
      </c>
      <c r="H890" s="5">
        <v>555688</v>
      </c>
      <c r="I890" s="5" t="s">
        <v>17</v>
      </c>
    </row>
    <row r="891" spans="1:9" x14ac:dyDescent="0.4">
      <c r="A891" s="14">
        <v>44088</v>
      </c>
      <c r="B891" s="5">
        <v>84211</v>
      </c>
      <c r="C891" s="5" t="s">
        <v>20</v>
      </c>
      <c r="D891" s="5">
        <v>781</v>
      </c>
      <c r="E891" s="5">
        <v>2</v>
      </c>
      <c r="F891" s="5">
        <v>4</v>
      </c>
      <c r="G891" s="14">
        <v>34393</v>
      </c>
      <c r="H891" s="5">
        <v>576772</v>
      </c>
      <c r="I891" s="5" t="s">
        <v>10</v>
      </c>
    </row>
    <row r="892" spans="1:9" x14ac:dyDescent="0.4">
      <c r="A892" s="14">
        <v>44093</v>
      </c>
      <c r="B892" s="5">
        <v>84049</v>
      </c>
      <c r="C892" s="5" t="s">
        <v>29</v>
      </c>
      <c r="D892" s="5">
        <v>800</v>
      </c>
      <c r="E892" s="5">
        <v>3</v>
      </c>
      <c r="F892" s="5">
        <v>9</v>
      </c>
      <c r="G892" s="14">
        <v>30005</v>
      </c>
      <c r="H892" s="5">
        <v>593323</v>
      </c>
      <c r="I892" s="5" t="s">
        <v>14</v>
      </c>
    </row>
    <row r="893" spans="1:9" x14ac:dyDescent="0.4">
      <c r="A893" s="14">
        <v>43949</v>
      </c>
      <c r="B893" s="5">
        <v>68344</v>
      </c>
      <c r="C893" s="5" t="s">
        <v>15</v>
      </c>
      <c r="D893" s="5">
        <v>756</v>
      </c>
      <c r="E893" s="5">
        <v>3</v>
      </c>
      <c r="F893" s="5">
        <v>3</v>
      </c>
      <c r="G893" s="14">
        <v>34157</v>
      </c>
      <c r="H893" s="5">
        <v>628220</v>
      </c>
      <c r="I893" s="5" t="s">
        <v>17</v>
      </c>
    </row>
    <row r="894" spans="1:9" x14ac:dyDescent="0.4">
      <c r="A894" s="14">
        <v>43950</v>
      </c>
      <c r="B894" s="5">
        <v>43744</v>
      </c>
      <c r="C894" s="5" t="s">
        <v>25</v>
      </c>
      <c r="D894" s="5">
        <v>747</v>
      </c>
      <c r="E894" s="5">
        <v>2</v>
      </c>
      <c r="F894" s="5">
        <v>1</v>
      </c>
      <c r="G894" s="14">
        <v>32889</v>
      </c>
      <c r="H894" s="5">
        <v>693621</v>
      </c>
      <c r="I894" s="5" t="s">
        <v>17</v>
      </c>
    </row>
    <row r="895" spans="1:9" x14ac:dyDescent="0.4">
      <c r="A895" s="14">
        <v>43872</v>
      </c>
      <c r="B895" s="5">
        <v>16002</v>
      </c>
      <c r="C895" s="5" t="s">
        <v>19</v>
      </c>
      <c r="D895" s="5">
        <v>783</v>
      </c>
      <c r="E895" s="5">
        <v>2</v>
      </c>
      <c r="F895" s="5">
        <v>8</v>
      </c>
      <c r="G895" s="14">
        <v>33736</v>
      </c>
      <c r="H895" s="5">
        <v>868112</v>
      </c>
      <c r="I895" s="5" t="s">
        <v>14</v>
      </c>
    </row>
    <row r="896" spans="1:9" x14ac:dyDescent="0.4">
      <c r="A896" s="14">
        <v>44135</v>
      </c>
      <c r="B896" s="5">
        <v>53353</v>
      </c>
      <c r="C896" s="5" t="s">
        <v>18</v>
      </c>
      <c r="D896" s="5">
        <v>715</v>
      </c>
      <c r="E896" s="5">
        <v>1</v>
      </c>
      <c r="F896" s="5">
        <v>10</v>
      </c>
      <c r="G896" s="14">
        <v>34588</v>
      </c>
      <c r="H896" s="5">
        <v>883957</v>
      </c>
      <c r="I896" s="5" t="s">
        <v>10</v>
      </c>
    </row>
    <row r="897" spans="1:9" x14ac:dyDescent="0.4">
      <c r="A897" s="14">
        <v>43980</v>
      </c>
      <c r="B897" s="5">
        <v>80050</v>
      </c>
      <c r="C897" s="5" t="s">
        <v>30</v>
      </c>
      <c r="D897" s="5">
        <v>726</v>
      </c>
      <c r="E897" s="5">
        <v>1</v>
      </c>
      <c r="F897" s="5">
        <v>9</v>
      </c>
      <c r="G897" s="14">
        <v>30157</v>
      </c>
      <c r="H897" s="5">
        <v>645331</v>
      </c>
      <c r="I897" s="5" t="s">
        <v>10</v>
      </c>
    </row>
    <row r="898" spans="1:9" x14ac:dyDescent="0.4">
      <c r="A898" s="14">
        <v>44151</v>
      </c>
      <c r="B898" s="5">
        <v>20792</v>
      </c>
      <c r="C898" s="5" t="s">
        <v>9</v>
      </c>
      <c r="D898" s="5">
        <v>779</v>
      </c>
      <c r="E898" s="5">
        <v>2</v>
      </c>
      <c r="F898" s="5">
        <v>4</v>
      </c>
      <c r="G898" s="14">
        <v>31421</v>
      </c>
      <c r="H898" s="5">
        <v>693474</v>
      </c>
      <c r="I898" s="5" t="s">
        <v>17</v>
      </c>
    </row>
    <row r="899" spans="1:9" x14ac:dyDescent="0.4">
      <c r="A899" s="14">
        <v>43843</v>
      </c>
      <c r="B899" s="5">
        <v>95386</v>
      </c>
      <c r="C899" s="5" t="s">
        <v>22</v>
      </c>
      <c r="D899" s="5">
        <v>732</v>
      </c>
      <c r="E899" s="5">
        <v>5</v>
      </c>
      <c r="F899" s="5">
        <v>5</v>
      </c>
      <c r="G899" s="14">
        <v>29337</v>
      </c>
      <c r="H899" s="5">
        <v>910949</v>
      </c>
      <c r="I899" s="5" t="s">
        <v>10</v>
      </c>
    </row>
    <row r="900" spans="1:9" x14ac:dyDescent="0.4">
      <c r="A900" s="14">
        <v>43998</v>
      </c>
      <c r="B900" s="5">
        <v>61042</v>
      </c>
      <c r="C900" s="5" t="s">
        <v>20</v>
      </c>
      <c r="D900" s="5">
        <v>788</v>
      </c>
      <c r="E900" s="5">
        <v>4</v>
      </c>
      <c r="F900" s="5">
        <v>8</v>
      </c>
      <c r="G900" s="14">
        <v>30691</v>
      </c>
      <c r="H900" s="5">
        <v>742181</v>
      </c>
      <c r="I900" s="5" t="s">
        <v>17</v>
      </c>
    </row>
    <row r="901" spans="1:9" x14ac:dyDescent="0.4">
      <c r="A901" s="14">
        <v>44067</v>
      </c>
      <c r="B901" s="5">
        <v>49163</v>
      </c>
      <c r="C901" s="5" t="s">
        <v>15</v>
      </c>
      <c r="D901" s="5">
        <v>735</v>
      </c>
      <c r="E901" s="5">
        <v>1</v>
      </c>
      <c r="F901" s="5">
        <v>2</v>
      </c>
      <c r="G901" s="14">
        <v>31938</v>
      </c>
      <c r="H901" s="5">
        <v>530738</v>
      </c>
      <c r="I901" s="5" t="s">
        <v>14</v>
      </c>
    </row>
    <row r="902" spans="1:9" x14ac:dyDescent="0.4">
      <c r="A902" s="14">
        <v>44169</v>
      </c>
      <c r="B902" s="5">
        <v>89479</v>
      </c>
      <c r="C902" s="5" t="s">
        <v>16</v>
      </c>
      <c r="D902" s="5">
        <v>770</v>
      </c>
      <c r="E902" s="5">
        <v>5</v>
      </c>
      <c r="F902" s="5">
        <v>4</v>
      </c>
      <c r="G902" s="14">
        <v>30520</v>
      </c>
      <c r="H902" s="5">
        <v>966350</v>
      </c>
      <c r="I902" s="5" t="s">
        <v>14</v>
      </c>
    </row>
    <row r="903" spans="1:9" x14ac:dyDescent="0.4">
      <c r="A903" s="14">
        <v>43899</v>
      </c>
      <c r="B903" s="5">
        <v>61277</v>
      </c>
      <c r="C903" s="5" t="s">
        <v>35</v>
      </c>
      <c r="D903" s="5">
        <v>761</v>
      </c>
      <c r="E903" s="5">
        <v>4</v>
      </c>
      <c r="F903" s="5">
        <v>3</v>
      </c>
      <c r="G903" s="14">
        <v>31167</v>
      </c>
      <c r="H903" s="5">
        <v>760297</v>
      </c>
      <c r="I903" s="5" t="s">
        <v>14</v>
      </c>
    </row>
    <row r="904" spans="1:9" x14ac:dyDescent="0.4">
      <c r="A904" s="14">
        <v>44128</v>
      </c>
      <c r="B904" s="5">
        <v>40667</v>
      </c>
      <c r="C904" s="5" t="s">
        <v>31</v>
      </c>
      <c r="D904" s="5">
        <v>754</v>
      </c>
      <c r="E904" s="5">
        <v>5</v>
      </c>
      <c r="F904" s="5">
        <v>10</v>
      </c>
      <c r="G904" s="14">
        <v>32265</v>
      </c>
      <c r="H904" s="5">
        <v>941650</v>
      </c>
      <c r="I904" s="5" t="s">
        <v>17</v>
      </c>
    </row>
    <row r="905" spans="1:9" x14ac:dyDescent="0.4">
      <c r="A905" s="14">
        <v>44123</v>
      </c>
      <c r="B905" s="5">
        <v>86938</v>
      </c>
      <c r="C905" s="5" t="s">
        <v>18</v>
      </c>
      <c r="D905" s="5">
        <v>743</v>
      </c>
      <c r="E905" s="5">
        <v>1</v>
      </c>
      <c r="F905" s="5">
        <v>6</v>
      </c>
      <c r="G905" s="14">
        <v>31024</v>
      </c>
      <c r="H905" s="5">
        <v>645045</v>
      </c>
      <c r="I905" s="5" t="s">
        <v>10</v>
      </c>
    </row>
    <row r="906" spans="1:9" x14ac:dyDescent="0.4">
      <c r="A906" s="14">
        <v>44048</v>
      </c>
      <c r="B906" s="5">
        <v>46268</v>
      </c>
      <c r="C906" s="5" t="s">
        <v>22</v>
      </c>
      <c r="D906" s="5">
        <v>752</v>
      </c>
      <c r="E906" s="5">
        <v>2</v>
      </c>
      <c r="F906" s="5">
        <v>8</v>
      </c>
      <c r="G906" s="14">
        <v>33609</v>
      </c>
      <c r="H906" s="5">
        <v>519971</v>
      </c>
      <c r="I906" s="5" t="s">
        <v>14</v>
      </c>
    </row>
    <row r="907" spans="1:9" x14ac:dyDescent="0.4">
      <c r="A907" s="14">
        <v>43936</v>
      </c>
      <c r="B907" s="5">
        <v>56840</v>
      </c>
      <c r="C907" s="5" t="s">
        <v>26</v>
      </c>
      <c r="D907" s="5">
        <v>755</v>
      </c>
      <c r="E907" s="5">
        <v>5</v>
      </c>
      <c r="F907" s="5">
        <v>2</v>
      </c>
      <c r="G907" s="14">
        <v>31105</v>
      </c>
      <c r="H907" s="5">
        <v>641697</v>
      </c>
      <c r="I907" s="5" t="s">
        <v>14</v>
      </c>
    </row>
    <row r="908" spans="1:9" x14ac:dyDescent="0.4">
      <c r="A908" s="14">
        <v>43987</v>
      </c>
      <c r="B908" s="5">
        <v>27730</v>
      </c>
      <c r="C908" s="5" t="s">
        <v>24</v>
      </c>
      <c r="D908" s="5">
        <v>755</v>
      </c>
      <c r="E908" s="5">
        <v>1</v>
      </c>
      <c r="F908" s="5">
        <v>10</v>
      </c>
      <c r="G908" s="14">
        <v>34279</v>
      </c>
      <c r="H908" s="5">
        <v>856240</v>
      </c>
      <c r="I908" s="5" t="s">
        <v>10</v>
      </c>
    </row>
    <row r="909" spans="1:9" x14ac:dyDescent="0.4">
      <c r="A909" s="14">
        <v>43904</v>
      </c>
      <c r="B909" s="5">
        <v>37808</v>
      </c>
      <c r="C909" s="5" t="s">
        <v>33</v>
      </c>
      <c r="D909" s="5">
        <v>765</v>
      </c>
      <c r="E909" s="5">
        <v>1</v>
      </c>
      <c r="F909" s="5">
        <v>3</v>
      </c>
      <c r="G909" s="14">
        <v>33263</v>
      </c>
      <c r="H909" s="5">
        <v>670204</v>
      </c>
      <c r="I909" s="5" t="s">
        <v>14</v>
      </c>
    </row>
    <row r="910" spans="1:9" x14ac:dyDescent="0.4">
      <c r="A910" s="14">
        <v>43898</v>
      </c>
      <c r="B910" s="5">
        <v>47096</v>
      </c>
      <c r="C910" s="5" t="s">
        <v>21</v>
      </c>
      <c r="D910" s="5">
        <v>732</v>
      </c>
      <c r="E910" s="5">
        <v>4</v>
      </c>
      <c r="F910" s="5">
        <v>9</v>
      </c>
      <c r="G910" s="14">
        <v>33971</v>
      </c>
      <c r="H910" s="5">
        <v>679278</v>
      </c>
      <c r="I910" s="5" t="s">
        <v>14</v>
      </c>
    </row>
    <row r="911" spans="1:9" x14ac:dyDescent="0.4">
      <c r="A911" s="14">
        <v>44157</v>
      </c>
      <c r="B911" s="5">
        <v>33235</v>
      </c>
      <c r="C911" s="5" t="s">
        <v>11</v>
      </c>
      <c r="D911" s="5">
        <v>800</v>
      </c>
      <c r="E911" s="5">
        <v>3</v>
      </c>
      <c r="F911" s="5">
        <v>2</v>
      </c>
      <c r="G911" s="14">
        <v>29865</v>
      </c>
      <c r="H911" s="5">
        <v>889281</v>
      </c>
      <c r="I911" s="5" t="s">
        <v>14</v>
      </c>
    </row>
    <row r="912" spans="1:9" x14ac:dyDescent="0.4">
      <c r="A912" s="14">
        <v>43971</v>
      </c>
      <c r="B912" s="5">
        <v>12400</v>
      </c>
      <c r="C912" s="5" t="s">
        <v>16</v>
      </c>
      <c r="D912" s="5">
        <v>718</v>
      </c>
      <c r="E912" s="5">
        <v>3</v>
      </c>
      <c r="F912" s="5">
        <v>1</v>
      </c>
      <c r="G912" s="14">
        <v>32546</v>
      </c>
      <c r="H912" s="5">
        <v>869677</v>
      </c>
      <c r="I912" s="5" t="s">
        <v>14</v>
      </c>
    </row>
    <row r="913" spans="1:9" x14ac:dyDescent="0.4">
      <c r="A913" s="14">
        <v>43870</v>
      </c>
      <c r="B913" s="5">
        <v>92748</v>
      </c>
      <c r="C913" s="5" t="s">
        <v>24</v>
      </c>
      <c r="D913" s="5">
        <v>762</v>
      </c>
      <c r="E913" s="5">
        <v>3</v>
      </c>
      <c r="F913" s="5">
        <v>5</v>
      </c>
      <c r="G913" s="14">
        <v>32596</v>
      </c>
      <c r="H913" s="5">
        <v>707598</v>
      </c>
      <c r="I913" s="5" t="s">
        <v>10</v>
      </c>
    </row>
    <row r="914" spans="1:9" x14ac:dyDescent="0.4">
      <c r="A914" s="14">
        <v>44167</v>
      </c>
      <c r="B914" s="5">
        <v>40888</v>
      </c>
      <c r="C914" s="5" t="s">
        <v>29</v>
      </c>
      <c r="D914" s="5">
        <v>789</v>
      </c>
      <c r="E914" s="5">
        <v>4</v>
      </c>
      <c r="F914" s="5">
        <v>1</v>
      </c>
      <c r="G914" s="14">
        <v>31951</v>
      </c>
      <c r="H914" s="5">
        <v>519794</v>
      </c>
      <c r="I914" s="5" t="s">
        <v>14</v>
      </c>
    </row>
    <row r="915" spans="1:9" x14ac:dyDescent="0.4">
      <c r="A915" s="14">
        <v>43968</v>
      </c>
      <c r="B915" s="5">
        <v>22223</v>
      </c>
      <c r="C915" s="5" t="s">
        <v>12</v>
      </c>
      <c r="D915" s="5">
        <v>766</v>
      </c>
      <c r="E915" s="5">
        <v>2</v>
      </c>
      <c r="F915" s="5">
        <v>10</v>
      </c>
      <c r="G915" s="14">
        <v>30142</v>
      </c>
      <c r="H915" s="5">
        <v>801696</v>
      </c>
      <c r="I915" s="5" t="s">
        <v>10</v>
      </c>
    </row>
    <row r="916" spans="1:9" x14ac:dyDescent="0.4">
      <c r="A916" s="14">
        <v>43894</v>
      </c>
      <c r="B916" s="5">
        <v>30644</v>
      </c>
      <c r="C916" s="5" t="s">
        <v>22</v>
      </c>
      <c r="D916" s="5">
        <v>756</v>
      </c>
      <c r="E916" s="5">
        <v>1</v>
      </c>
      <c r="F916" s="5">
        <v>6</v>
      </c>
      <c r="G916" s="14">
        <v>34373</v>
      </c>
      <c r="H916" s="5">
        <v>768649</v>
      </c>
      <c r="I916" s="5" t="s">
        <v>17</v>
      </c>
    </row>
    <row r="917" spans="1:9" x14ac:dyDescent="0.4">
      <c r="A917" s="14">
        <v>44167</v>
      </c>
      <c r="B917" s="5">
        <v>15917</v>
      </c>
      <c r="C917" s="5" t="s">
        <v>22</v>
      </c>
      <c r="D917" s="5">
        <v>792</v>
      </c>
      <c r="E917" s="5">
        <v>1</v>
      </c>
      <c r="F917" s="5">
        <v>4</v>
      </c>
      <c r="G917" s="14">
        <v>31368</v>
      </c>
      <c r="H917" s="5">
        <v>560791</v>
      </c>
      <c r="I917" s="5" t="s">
        <v>17</v>
      </c>
    </row>
    <row r="918" spans="1:9" x14ac:dyDescent="0.4">
      <c r="A918" s="14">
        <v>43831</v>
      </c>
      <c r="B918" s="5">
        <v>74081</v>
      </c>
      <c r="C918" s="5" t="s">
        <v>30</v>
      </c>
      <c r="D918" s="5">
        <v>782</v>
      </c>
      <c r="E918" s="5">
        <v>2</v>
      </c>
      <c r="F918" s="5">
        <v>8</v>
      </c>
      <c r="G918" s="14">
        <v>29769</v>
      </c>
      <c r="H918" s="5">
        <v>958927</v>
      </c>
      <c r="I918" s="5" t="s">
        <v>17</v>
      </c>
    </row>
    <row r="919" spans="1:9" x14ac:dyDescent="0.4">
      <c r="A919" s="14">
        <v>43903</v>
      </c>
      <c r="B919" s="5">
        <v>38406</v>
      </c>
      <c r="C919" s="5" t="s">
        <v>24</v>
      </c>
      <c r="D919" s="5">
        <v>798</v>
      </c>
      <c r="E919" s="5">
        <v>2</v>
      </c>
      <c r="F919" s="5">
        <v>8</v>
      </c>
      <c r="G919" s="14">
        <v>30587</v>
      </c>
      <c r="H919" s="5">
        <v>746078</v>
      </c>
      <c r="I919" s="5" t="s">
        <v>10</v>
      </c>
    </row>
    <row r="920" spans="1:9" x14ac:dyDescent="0.4">
      <c r="A920" s="14">
        <v>44143</v>
      </c>
      <c r="B920" s="5">
        <v>48986</v>
      </c>
      <c r="C920" s="5" t="s">
        <v>31</v>
      </c>
      <c r="D920" s="5">
        <v>723</v>
      </c>
      <c r="E920" s="5">
        <v>1</v>
      </c>
      <c r="F920" s="5">
        <v>3</v>
      </c>
      <c r="G920" s="14">
        <v>33112</v>
      </c>
      <c r="H920" s="5">
        <v>865697</v>
      </c>
      <c r="I920" s="5" t="s">
        <v>10</v>
      </c>
    </row>
    <row r="921" spans="1:9" x14ac:dyDescent="0.4">
      <c r="A921" s="14">
        <v>43871</v>
      </c>
      <c r="B921" s="5">
        <v>42393</v>
      </c>
      <c r="C921" s="5" t="s">
        <v>25</v>
      </c>
      <c r="D921" s="5">
        <v>718</v>
      </c>
      <c r="E921" s="5">
        <v>5</v>
      </c>
      <c r="F921" s="5">
        <v>4</v>
      </c>
      <c r="G921" s="14">
        <v>31521</v>
      </c>
      <c r="H921" s="5">
        <v>856724</v>
      </c>
      <c r="I921" s="5" t="s">
        <v>17</v>
      </c>
    </row>
    <row r="922" spans="1:9" x14ac:dyDescent="0.4">
      <c r="A922" s="14">
        <v>43952</v>
      </c>
      <c r="B922" s="5">
        <v>99825</v>
      </c>
      <c r="C922" s="5" t="s">
        <v>28</v>
      </c>
      <c r="D922" s="5">
        <v>722</v>
      </c>
      <c r="E922" s="5">
        <v>2</v>
      </c>
      <c r="F922" s="5">
        <v>6</v>
      </c>
      <c r="G922" s="14">
        <v>30990</v>
      </c>
      <c r="H922" s="5">
        <v>862656</v>
      </c>
      <c r="I922" s="5" t="s">
        <v>10</v>
      </c>
    </row>
    <row r="923" spans="1:9" x14ac:dyDescent="0.4">
      <c r="A923" s="14">
        <v>43876</v>
      </c>
      <c r="B923" s="5">
        <v>80413</v>
      </c>
      <c r="C923" s="5" t="s">
        <v>18</v>
      </c>
      <c r="D923" s="5">
        <v>716</v>
      </c>
      <c r="E923" s="5">
        <v>1</v>
      </c>
      <c r="F923" s="5">
        <v>3</v>
      </c>
      <c r="G923" s="14">
        <v>33719</v>
      </c>
      <c r="H923" s="5">
        <v>610603</v>
      </c>
      <c r="I923" s="5" t="s">
        <v>10</v>
      </c>
    </row>
    <row r="924" spans="1:9" x14ac:dyDescent="0.4">
      <c r="A924" s="14">
        <v>43943</v>
      </c>
      <c r="B924" s="5">
        <v>98909</v>
      </c>
      <c r="C924" s="5" t="s">
        <v>16</v>
      </c>
      <c r="D924" s="5">
        <v>706</v>
      </c>
      <c r="E924" s="5">
        <v>4</v>
      </c>
      <c r="F924" s="5">
        <v>10</v>
      </c>
      <c r="G924" s="14">
        <v>33092</v>
      </c>
      <c r="H924" s="5">
        <v>622627</v>
      </c>
      <c r="I924" s="5" t="s">
        <v>17</v>
      </c>
    </row>
    <row r="925" spans="1:9" x14ac:dyDescent="0.4">
      <c r="A925" s="14">
        <v>44158</v>
      </c>
      <c r="B925" s="5">
        <v>17934</v>
      </c>
      <c r="C925" s="5" t="s">
        <v>34</v>
      </c>
      <c r="D925" s="5">
        <v>752</v>
      </c>
      <c r="E925" s="5">
        <v>2</v>
      </c>
      <c r="F925" s="5">
        <v>5</v>
      </c>
      <c r="G925" s="14">
        <v>33506</v>
      </c>
      <c r="H925" s="5">
        <v>621307</v>
      </c>
      <c r="I925" s="5" t="s">
        <v>10</v>
      </c>
    </row>
    <row r="926" spans="1:9" x14ac:dyDescent="0.4">
      <c r="A926" s="14">
        <v>43896</v>
      </c>
      <c r="B926" s="5">
        <v>53632</v>
      </c>
      <c r="C926" s="5" t="s">
        <v>24</v>
      </c>
      <c r="D926" s="5">
        <v>729</v>
      </c>
      <c r="E926" s="5">
        <v>2</v>
      </c>
      <c r="F926" s="5">
        <v>1</v>
      </c>
      <c r="G926" s="14">
        <v>31219</v>
      </c>
      <c r="H926" s="5">
        <v>546261</v>
      </c>
      <c r="I926" s="5" t="s">
        <v>10</v>
      </c>
    </row>
    <row r="927" spans="1:9" x14ac:dyDescent="0.4">
      <c r="A927" s="14">
        <v>44088</v>
      </c>
      <c r="B927" s="5">
        <v>14147</v>
      </c>
      <c r="C927" s="5" t="s">
        <v>23</v>
      </c>
      <c r="D927" s="5">
        <v>774</v>
      </c>
      <c r="E927" s="5">
        <v>3</v>
      </c>
      <c r="F927" s="5">
        <v>5</v>
      </c>
      <c r="G927" s="14">
        <v>31590</v>
      </c>
      <c r="H927" s="5">
        <v>765398</v>
      </c>
      <c r="I927" s="5" t="s">
        <v>10</v>
      </c>
    </row>
    <row r="928" spans="1:9" x14ac:dyDescent="0.4">
      <c r="A928" s="14">
        <v>43966</v>
      </c>
      <c r="B928" s="5">
        <v>14886</v>
      </c>
      <c r="C928" s="5" t="s">
        <v>9</v>
      </c>
      <c r="D928" s="5">
        <v>740</v>
      </c>
      <c r="E928" s="5">
        <v>4</v>
      </c>
      <c r="F928" s="5">
        <v>8</v>
      </c>
      <c r="G928" s="14">
        <v>29677</v>
      </c>
      <c r="H928" s="5">
        <v>675410</v>
      </c>
      <c r="I928" s="5" t="s">
        <v>14</v>
      </c>
    </row>
    <row r="929" spans="1:9" x14ac:dyDescent="0.4">
      <c r="A929" s="14">
        <v>44164</v>
      </c>
      <c r="B929" s="5">
        <v>17693</v>
      </c>
      <c r="C929" s="5" t="s">
        <v>12</v>
      </c>
      <c r="D929" s="5">
        <v>737</v>
      </c>
      <c r="E929" s="5">
        <v>4</v>
      </c>
      <c r="F929" s="5">
        <v>9</v>
      </c>
      <c r="G929" s="14">
        <v>31730</v>
      </c>
      <c r="H929" s="5">
        <v>934943</v>
      </c>
      <c r="I929" s="5" t="s">
        <v>14</v>
      </c>
    </row>
    <row r="930" spans="1:9" x14ac:dyDescent="0.4">
      <c r="A930" s="14">
        <v>43948</v>
      </c>
      <c r="B930" s="5">
        <v>63705</v>
      </c>
      <c r="C930" s="5" t="s">
        <v>35</v>
      </c>
      <c r="D930" s="5">
        <v>769</v>
      </c>
      <c r="E930" s="5">
        <v>2</v>
      </c>
      <c r="F930" s="5">
        <v>9</v>
      </c>
      <c r="G930" s="14">
        <v>31200</v>
      </c>
      <c r="H930" s="5">
        <v>753887</v>
      </c>
      <c r="I930" s="5" t="s">
        <v>10</v>
      </c>
    </row>
    <row r="931" spans="1:9" x14ac:dyDescent="0.4">
      <c r="A931" s="14">
        <v>44054</v>
      </c>
      <c r="B931" s="5">
        <v>79227</v>
      </c>
      <c r="C931" s="5" t="s">
        <v>11</v>
      </c>
      <c r="D931" s="5">
        <v>716</v>
      </c>
      <c r="E931" s="5">
        <v>4</v>
      </c>
      <c r="F931" s="5">
        <v>1</v>
      </c>
      <c r="G931" s="14">
        <v>29768</v>
      </c>
      <c r="H931" s="5">
        <v>815919</v>
      </c>
      <c r="I931" s="5" t="s">
        <v>10</v>
      </c>
    </row>
    <row r="932" spans="1:9" x14ac:dyDescent="0.4">
      <c r="A932" s="14">
        <v>44069</v>
      </c>
      <c r="B932" s="5">
        <v>50994</v>
      </c>
      <c r="C932" s="5" t="s">
        <v>11</v>
      </c>
      <c r="D932" s="5">
        <v>778</v>
      </c>
      <c r="E932" s="5">
        <v>5</v>
      </c>
      <c r="F932" s="5">
        <v>4</v>
      </c>
      <c r="G932" s="14">
        <v>34145</v>
      </c>
      <c r="H932" s="5">
        <v>683977</v>
      </c>
      <c r="I932" s="5" t="s">
        <v>17</v>
      </c>
    </row>
    <row r="933" spans="1:9" x14ac:dyDescent="0.4">
      <c r="A933" s="14">
        <v>43837</v>
      </c>
      <c r="B933" s="5">
        <v>28960</v>
      </c>
      <c r="C933" s="5" t="s">
        <v>24</v>
      </c>
      <c r="D933" s="5">
        <v>758</v>
      </c>
      <c r="E933" s="5">
        <v>3</v>
      </c>
      <c r="F933" s="5">
        <v>5</v>
      </c>
      <c r="G933" s="14">
        <v>31298</v>
      </c>
      <c r="H933" s="5">
        <v>503619</v>
      </c>
      <c r="I933" s="5" t="s">
        <v>14</v>
      </c>
    </row>
    <row r="934" spans="1:9" x14ac:dyDescent="0.4">
      <c r="A934" s="14">
        <v>44167</v>
      </c>
      <c r="B934" s="5">
        <v>80217</v>
      </c>
      <c r="C934" s="5" t="s">
        <v>32</v>
      </c>
      <c r="D934" s="5">
        <v>777</v>
      </c>
      <c r="E934" s="5">
        <v>2</v>
      </c>
      <c r="F934" s="5">
        <v>9</v>
      </c>
      <c r="G934" s="14">
        <v>30148</v>
      </c>
      <c r="H934" s="5">
        <v>889056</v>
      </c>
      <c r="I934" s="5" t="s">
        <v>10</v>
      </c>
    </row>
    <row r="935" spans="1:9" x14ac:dyDescent="0.4">
      <c r="A935" s="14">
        <v>43994</v>
      </c>
      <c r="B935" s="5">
        <v>30845</v>
      </c>
      <c r="C935" s="5" t="s">
        <v>28</v>
      </c>
      <c r="D935" s="5">
        <v>738</v>
      </c>
      <c r="E935" s="5">
        <v>4</v>
      </c>
      <c r="F935" s="5">
        <v>4</v>
      </c>
      <c r="G935" s="14">
        <v>33467</v>
      </c>
      <c r="H935" s="5">
        <v>702299</v>
      </c>
      <c r="I935" s="5" t="s">
        <v>10</v>
      </c>
    </row>
    <row r="936" spans="1:9" x14ac:dyDescent="0.4">
      <c r="A936" s="14">
        <v>44096</v>
      </c>
      <c r="B936" s="5">
        <v>56704</v>
      </c>
      <c r="C936" s="5" t="s">
        <v>16</v>
      </c>
      <c r="D936" s="5">
        <v>772</v>
      </c>
      <c r="E936" s="5">
        <v>3</v>
      </c>
      <c r="F936" s="5">
        <v>2</v>
      </c>
      <c r="G936" s="14">
        <v>34646</v>
      </c>
      <c r="H936" s="5">
        <v>582495</v>
      </c>
      <c r="I936" s="5" t="s">
        <v>17</v>
      </c>
    </row>
    <row r="937" spans="1:9" x14ac:dyDescent="0.4">
      <c r="A937" s="14">
        <v>43976</v>
      </c>
      <c r="B937" s="5">
        <v>86488</v>
      </c>
      <c r="C937" s="5" t="s">
        <v>9</v>
      </c>
      <c r="D937" s="5">
        <v>764</v>
      </c>
      <c r="E937" s="5">
        <v>2</v>
      </c>
      <c r="F937" s="5">
        <v>6</v>
      </c>
      <c r="G937" s="14">
        <v>32260</v>
      </c>
      <c r="H937" s="5">
        <v>658127</v>
      </c>
      <c r="I937" s="5" t="s">
        <v>14</v>
      </c>
    </row>
    <row r="938" spans="1:9" x14ac:dyDescent="0.4">
      <c r="A938" s="14">
        <v>44021</v>
      </c>
      <c r="B938" s="5">
        <v>79462</v>
      </c>
      <c r="C938" s="5" t="s">
        <v>31</v>
      </c>
      <c r="D938" s="5">
        <v>739</v>
      </c>
      <c r="E938" s="5">
        <v>2</v>
      </c>
      <c r="F938" s="5">
        <v>5</v>
      </c>
      <c r="G938" s="14">
        <v>30092</v>
      </c>
      <c r="H938" s="5">
        <v>955880</v>
      </c>
      <c r="I938" s="5" t="s">
        <v>14</v>
      </c>
    </row>
    <row r="939" spans="1:9" x14ac:dyDescent="0.4">
      <c r="A939" s="14">
        <v>43945</v>
      </c>
      <c r="B939" s="5">
        <v>64677</v>
      </c>
      <c r="C939" s="5" t="s">
        <v>12</v>
      </c>
      <c r="D939" s="5">
        <v>703</v>
      </c>
      <c r="E939" s="5">
        <v>2</v>
      </c>
      <c r="F939" s="5">
        <v>7</v>
      </c>
      <c r="G939" s="14">
        <v>34599</v>
      </c>
      <c r="H939" s="5">
        <v>913943</v>
      </c>
      <c r="I939" s="5" t="s">
        <v>17</v>
      </c>
    </row>
    <row r="940" spans="1:9" x14ac:dyDescent="0.4">
      <c r="A940" s="14">
        <v>44088</v>
      </c>
      <c r="B940" s="5">
        <v>53751</v>
      </c>
      <c r="C940" s="5" t="s">
        <v>15</v>
      </c>
      <c r="D940" s="5">
        <v>704</v>
      </c>
      <c r="E940" s="5">
        <v>3</v>
      </c>
      <c r="F940" s="5">
        <v>1</v>
      </c>
      <c r="G940" s="14">
        <v>30100</v>
      </c>
      <c r="H940" s="5">
        <v>992032</v>
      </c>
      <c r="I940" s="5" t="s">
        <v>17</v>
      </c>
    </row>
    <row r="941" spans="1:9" x14ac:dyDescent="0.4">
      <c r="A941" s="14">
        <v>43846</v>
      </c>
      <c r="B941" s="5">
        <v>27788</v>
      </c>
      <c r="C941" s="5" t="s">
        <v>11</v>
      </c>
      <c r="D941" s="5">
        <v>758</v>
      </c>
      <c r="E941" s="5">
        <v>2</v>
      </c>
      <c r="F941" s="5">
        <v>6</v>
      </c>
      <c r="G941" s="14">
        <v>31425</v>
      </c>
      <c r="H941" s="5">
        <v>780827</v>
      </c>
      <c r="I941" s="5" t="s">
        <v>17</v>
      </c>
    </row>
    <row r="942" spans="1:9" x14ac:dyDescent="0.4">
      <c r="A942" s="14">
        <v>43843</v>
      </c>
      <c r="B942" s="5">
        <v>70713</v>
      </c>
      <c r="C942" s="5" t="s">
        <v>18</v>
      </c>
      <c r="D942" s="5">
        <v>729</v>
      </c>
      <c r="E942" s="5">
        <v>5</v>
      </c>
      <c r="F942" s="5">
        <v>6</v>
      </c>
      <c r="G942" s="14">
        <v>33680</v>
      </c>
      <c r="H942" s="5">
        <v>763949</v>
      </c>
      <c r="I942" s="5" t="s">
        <v>10</v>
      </c>
    </row>
    <row r="943" spans="1:9" x14ac:dyDescent="0.4">
      <c r="A943" s="14">
        <v>43979</v>
      </c>
      <c r="B943" s="5">
        <v>33264</v>
      </c>
      <c r="C943" s="5" t="s">
        <v>9</v>
      </c>
      <c r="D943" s="5">
        <v>761</v>
      </c>
      <c r="E943" s="5">
        <v>1</v>
      </c>
      <c r="F943" s="5">
        <v>8</v>
      </c>
      <c r="G943" s="14">
        <v>31175</v>
      </c>
      <c r="H943" s="5">
        <v>874282</v>
      </c>
      <c r="I943" s="5" t="s">
        <v>14</v>
      </c>
    </row>
    <row r="944" spans="1:9" x14ac:dyDescent="0.4">
      <c r="A944" s="14">
        <v>43949</v>
      </c>
      <c r="B944" s="5">
        <v>88783</v>
      </c>
      <c r="C944" s="5" t="s">
        <v>25</v>
      </c>
      <c r="D944" s="5">
        <v>708</v>
      </c>
      <c r="E944" s="5">
        <v>2</v>
      </c>
      <c r="F944" s="5">
        <v>8</v>
      </c>
      <c r="G944" s="14">
        <v>30351</v>
      </c>
      <c r="H944" s="5">
        <v>829846</v>
      </c>
      <c r="I944" s="5" t="s">
        <v>14</v>
      </c>
    </row>
    <row r="945" spans="1:9" x14ac:dyDescent="0.4">
      <c r="A945" s="14">
        <v>44121</v>
      </c>
      <c r="B945" s="5">
        <v>10804</v>
      </c>
      <c r="C945" s="5" t="s">
        <v>25</v>
      </c>
      <c r="D945" s="5">
        <v>771</v>
      </c>
      <c r="E945" s="5">
        <v>2</v>
      </c>
      <c r="F945" s="5">
        <v>4</v>
      </c>
      <c r="G945" s="14">
        <v>33461</v>
      </c>
      <c r="H945" s="5">
        <v>721772</v>
      </c>
      <c r="I945" s="5" t="s">
        <v>10</v>
      </c>
    </row>
    <row r="946" spans="1:9" x14ac:dyDescent="0.4">
      <c r="A946" s="14">
        <v>44035</v>
      </c>
      <c r="B946" s="5">
        <v>40150</v>
      </c>
      <c r="C946" s="5" t="s">
        <v>33</v>
      </c>
      <c r="D946" s="5">
        <v>799</v>
      </c>
      <c r="E946" s="5">
        <v>5</v>
      </c>
      <c r="F946" s="5">
        <v>4</v>
      </c>
      <c r="G946" s="14">
        <v>32553</v>
      </c>
      <c r="H946" s="5">
        <v>867129</v>
      </c>
      <c r="I946" s="5" t="s">
        <v>17</v>
      </c>
    </row>
    <row r="947" spans="1:9" x14ac:dyDescent="0.4">
      <c r="A947" s="14">
        <v>43912</v>
      </c>
      <c r="B947" s="5">
        <v>11377</v>
      </c>
      <c r="C947" s="5" t="s">
        <v>34</v>
      </c>
      <c r="D947" s="5">
        <v>729</v>
      </c>
      <c r="E947" s="5">
        <v>1</v>
      </c>
      <c r="F947" s="5">
        <v>10</v>
      </c>
      <c r="G947" s="14">
        <v>29421</v>
      </c>
      <c r="H947" s="5">
        <v>761341</v>
      </c>
      <c r="I947" s="5" t="s">
        <v>14</v>
      </c>
    </row>
    <row r="948" spans="1:9" x14ac:dyDescent="0.4">
      <c r="A948" s="14">
        <v>44033</v>
      </c>
      <c r="B948" s="5">
        <v>37782</v>
      </c>
      <c r="C948" s="5" t="s">
        <v>16</v>
      </c>
      <c r="D948" s="5">
        <v>732</v>
      </c>
      <c r="E948" s="5">
        <v>3</v>
      </c>
      <c r="F948" s="5">
        <v>1</v>
      </c>
      <c r="G948" s="14">
        <v>29383</v>
      </c>
      <c r="H948" s="5">
        <v>769686</v>
      </c>
      <c r="I948" s="5" t="s">
        <v>14</v>
      </c>
    </row>
    <row r="949" spans="1:9" x14ac:dyDescent="0.4">
      <c r="A949" s="14">
        <v>44026</v>
      </c>
      <c r="B949" s="5">
        <v>66876</v>
      </c>
      <c r="C949" s="5" t="s">
        <v>32</v>
      </c>
      <c r="D949" s="5">
        <v>708</v>
      </c>
      <c r="E949" s="5">
        <v>2</v>
      </c>
      <c r="F949" s="5">
        <v>8</v>
      </c>
      <c r="G949" s="14">
        <v>30201</v>
      </c>
      <c r="H949" s="5">
        <v>947120</v>
      </c>
      <c r="I949" s="5" t="s">
        <v>14</v>
      </c>
    </row>
    <row r="950" spans="1:9" x14ac:dyDescent="0.4">
      <c r="A950" s="14">
        <v>44079</v>
      </c>
      <c r="B950" s="5">
        <v>35347</v>
      </c>
      <c r="C950" s="5" t="s">
        <v>24</v>
      </c>
      <c r="D950" s="5">
        <v>707</v>
      </c>
      <c r="E950" s="5">
        <v>1</v>
      </c>
      <c r="F950" s="5">
        <v>7</v>
      </c>
      <c r="G950" s="14">
        <v>29276</v>
      </c>
      <c r="H950" s="5">
        <v>748484</v>
      </c>
      <c r="I950" s="5" t="s">
        <v>17</v>
      </c>
    </row>
    <row r="951" spans="1:9" x14ac:dyDescent="0.4">
      <c r="A951" s="14">
        <v>44161</v>
      </c>
      <c r="B951" s="5">
        <v>71659</v>
      </c>
      <c r="C951" s="5" t="s">
        <v>21</v>
      </c>
      <c r="D951" s="5">
        <v>770</v>
      </c>
      <c r="E951" s="5">
        <v>1</v>
      </c>
      <c r="F951" s="5">
        <v>6</v>
      </c>
      <c r="G951" s="14">
        <v>29821</v>
      </c>
      <c r="H951" s="5">
        <v>550140</v>
      </c>
      <c r="I951" s="5" t="s">
        <v>17</v>
      </c>
    </row>
    <row r="952" spans="1:9" x14ac:dyDescent="0.4">
      <c r="A952" s="14">
        <v>44018</v>
      </c>
      <c r="B952" s="5">
        <v>77381</v>
      </c>
      <c r="C952" s="5" t="s">
        <v>26</v>
      </c>
      <c r="D952" s="5">
        <v>704</v>
      </c>
      <c r="E952" s="5">
        <v>1</v>
      </c>
      <c r="F952" s="5">
        <v>4</v>
      </c>
      <c r="G952" s="14">
        <v>32626</v>
      </c>
      <c r="H952" s="5">
        <v>541629</v>
      </c>
      <c r="I952" s="5" t="s">
        <v>17</v>
      </c>
    </row>
    <row r="953" spans="1:9" x14ac:dyDescent="0.4">
      <c r="A953" s="14">
        <v>43967</v>
      </c>
      <c r="B953" s="5">
        <v>22762</v>
      </c>
      <c r="C953" s="5" t="s">
        <v>13</v>
      </c>
      <c r="D953" s="5">
        <v>748</v>
      </c>
      <c r="E953" s="5">
        <v>4</v>
      </c>
      <c r="F953" s="5">
        <v>10</v>
      </c>
      <c r="G953" s="14">
        <v>34608</v>
      </c>
      <c r="H953" s="5">
        <v>918180</v>
      </c>
      <c r="I953" s="5" t="s">
        <v>14</v>
      </c>
    </row>
    <row r="954" spans="1:9" x14ac:dyDescent="0.4">
      <c r="A954" s="14">
        <v>43954</v>
      </c>
      <c r="B954" s="5">
        <v>91326</v>
      </c>
      <c r="C954" s="5" t="s">
        <v>27</v>
      </c>
      <c r="D954" s="5">
        <v>726</v>
      </c>
      <c r="E954" s="5">
        <v>3</v>
      </c>
      <c r="F954" s="5">
        <v>8</v>
      </c>
      <c r="G954" s="14">
        <v>31731</v>
      </c>
      <c r="H954" s="5">
        <v>573154</v>
      </c>
      <c r="I954" s="5" t="s">
        <v>10</v>
      </c>
    </row>
    <row r="955" spans="1:9" x14ac:dyDescent="0.4">
      <c r="A955" s="14">
        <v>43901</v>
      </c>
      <c r="B955" s="5">
        <v>21644</v>
      </c>
      <c r="C955" s="5" t="s">
        <v>24</v>
      </c>
      <c r="D955" s="5">
        <v>791</v>
      </c>
      <c r="E955" s="5">
        <v>3</v>
      </c>
      <c r="F955" s="5">
        <v>4</v>
      </c>
      <c r="G955" s="14">
        <v>32296</v>
      </c>
      <c r="H955" s="5">
        <v>677195</v>
      </c>
      <c r="I955" s="5" t="s">
        <v>14</v>
      </c>
    </row>
    <row r="956" spans="1:9" x14ac:dyDescent="0.4">
      <c r="A956" s="14">
        <v>44160</v>
      </c>
      <c r="B956" s="5">
        <v>58510</v>
      </c>
      <c r="C956" s="5" t="s">
        <v>19</v>
      </c>
      <c r="D956" s="5">
        <v>764</v>
      </c>
      <c r="E956" s="5">
        <v>5</v>
      </c>
      <c r="F956" s="5">
        <v>3</v>
      </c>
      <c r="G956" s="14">
        <v>32435</v>
      </c>
      <c r="H956" s="5">
        <v>526636</v>
      </c>
      <c r="I956" s="5" t="s">
        <v>10</v>
      </c>
    </row>
    <row r="957" spans="1:9" x14ac:dyDescent="0.4">
      <c r="A957" s="14">
        <v>44031</v>
      </c>
      <c r="B957" s="5">
        <v>15330</v>
      </c>
      <c r="C957" s="5" t="s">
        <v>16</v>
      </c>
      <c r="D957" s="5">
        <v>715</v>
      </c>
      <c r="E957" s="5">
        <v>1</v>
      </c>
      <c r="F957" s="5">
        <v>10</v>
      </c>
      <c r="G957" s="14">
        <v>31056</v>
      </c>
      <c r="H957" s="5">
        <v>685537</v>
      </c>
      <c r="I957" s="5" t="s">
        <v>14</v>
      </c>
    </row>
    <row r="958" spans="1:9" x14ac:dyDescent="0.4">
      <c r="A958" s="14">
        <v>43870</v>
      </c>
      <c r="B958" s="5">
        <v>96815</v>
      </c>
      <c r="C958" s="5" t="s">
        <v>22</v>
      </c>
      <c r="D958" s="5">
        <v>722</v>
      </c>
      <c r="E958" s="5">
        <v>5</v>
      </c>
      <c r="F958" s="5">
        <v>1</v>
      </c>
      <c r="G958" s="14">
        <v>32219</v>
      </c>
      <c r="H958" s="5">
        <v>909554</v>
      </c>
      <c r="I958" s="5" t="s">
        <v>17</v>
      </c>
    </row>
    <row r="959" spans="1:9" x14ac:dyDescent="0.4">
      <c r="A959" s="14">
        <v>44132</v>
      </c>
      <c r="B959" s="5">
        <v>54329</v>
      </c>
      <c r="C959" s="5" t="s">
        <v>21</v>
      </c>
      <c r="D959" s="5">
        <v>728</v>
      </c>
      <c r="E959" s="5">
        <v>4</v>
      </c>
      <c r="F959" s="5">
        <v>6</v>
      </c>
      <c r="G959" s="14">
        <v>34100</v>
      </c>
      <c r="H959" s="5">
        <v>949802</v>
      </c>
      <c r="I959" s="5" t="s">
        <v>10</v>
      </c>
    </row>
    <row r="960" spans="1:9" x14ac:dyDescent="0.4">
      <c r="A960" s="14">
        <v>44154</v>
      </c>
      <c r="B960" s="5">
        <v>89827</v>
      </c>
      <c r="C960" s="5" t="s">
        <v>19</v>
      </c>
      <c r="D960" s="5">
        <v>743</v>
      </c>
      <c r="E960" s="5">
        <v>4</v>
      </c>
      <c r="F960" s="5">
        <v>2</v>
      </c>
      <c r="G960" s="14">
        <v>29418</v>
      </c>
      <c r="H960" s="5">
        <v>729346</v>
      </c>
      <c r="I960" s="5" t="s">
        <v>14</v>
      </c>
    </row>
    <row r="961" spans="1:9" x14ac:dyDescent="0.4">
      <c r="A961" s="14">
        <v>43880</v>
      </c>
      <c r="B961" s="5">
        <v>81215</v>
      </c>
      <c r="C961" s="5" t="s">
        <v>35</v>
      </c>
      <c r="D961" s="5">
        <v>700</v>
      </c>
      <c r="E961" s="5">
        <v>2</v>
      </c>
      <c r="F961" s="5">
        <v>5</v>
      </c>
      <c r="G961" s="14">
        <v>34172</v>
      </c>
      <c r="H961" s="5">
        <v>665224</v>
      </c>
      <c r="I961" s="5" t="s">
        <v>17</v>
      </c>
    </row>
    <row r="962" spans="1:9" x14ac:dyDescent="0.4">
      <c r="A962" s="14">
        <v>43851</v>
      </c>
      <c r="B962" s="5">
        <v>63995</v>
      </c>
      <c r="C962" s="5" t="s">
        <v>24</v>
      </c>
      <c r="D962" s="5">
        <v>728</v>
      </c>
      <c r="E962" s="5">
        <v>1</v>
      </c>
      <c r="F962" s="5">
        <v>2</v>
      </c>
      <c r="G962" s="14">
        <v>33153</v>
      </c>
      <c r="H962" s="5">
        <v>816454</v>
      </c>
      <c r="I962" s="5" t="s">
        <v>14</v>
      </c>
    </row>
    <row r="963" spans="1:9" x14ac:dyDescent="0.4">
      <c r="A963" s="14">
        <v>44042</v>
      </c>
      <c r="B963" s="5">
        <v>80718</v>
      </c>
      <c r="C963" s="5" t="s">
        <v>33</v>
      </c>
      <c r="D963" s="5">
        <v>792</v>
      </c>
      <c r="E963" s="5">
        <v>1</v>
      </c>
      <c r="F963" s="5">
        <v>8</v>
      </c>
      <c r="G963" s="14">
        <v>33033</v>
      </c>
      <c r="H963" s="5">
        <v>902138</v>
      </c>
      <c r="I963" s="5" t="s">
        <v>14</v>
      </c>
    </row>
    <row r="964" spans="1:9" x14ac:dyDescent="0.4">
      <c r="A964" s="14">
        <v>44068</v>
      </c>
      <c r="B964" s="5">
        <v>61503</v>
      </c>
      <c r="C964" s="5" t="s">
        <v>11</v>
      </c>
      <c r="D964" s="5">
        <v>780</v>
      </c>
      <c r="E964" s="5">
        <v>5</v>
      </c>
      <c r="F964" s="5">
        <v>1</v>
      </c>
      <c r="G964" s="14">
        <v>31525</v>
      </c>
      <c r="H964" s="5">
        <v>573943</v>
      </c>
      <c r="I964" s="5" t="s">
        <v>14</v>
      </c>
    </row>
    <row r="965" spans="1:9" x14ac:dyDescent="0.4">
      <c r="A965" s="14">
        <v>43889</v>
      </c>
      <c r="B965" s="5">
        <v>42387</v>
      </c>
      <c r="C965" s="5" t="s">
        <v>33</v>
      </c>
      <c r="D965" s="5">
        <v>765</v>
      </c>
      <c r="E965" s="5">
        <v>5</v>
      </c>
      <c r="F965" s="5">
        <v>10</v>
      </c>
      <c r="G965" s="14">
        <v>31772</v>
      </c>
      <c r="H965" s="5">
        <v>701014</v>
      </c>
      <c r="I965" s="5" t="s">
        <v>10</v>
      </c>
    </row>
    <row r="966" spans="1:9" x14ac:dyDescent="0.4">
      <c r="A966" s="14">
        <v>43851</v>
      </c>
      <c r="B966" s="5">
        <v>79422</v>
      </c>
      <c r="C966" s="5" t="s">
        <v>15</v>
      </c>
      <c r="D966" s="5">
        <v>791</v>
      </c>
      <c r="E966" s="5">
        <v>5</v>
      </c>
      <c r="F966" s="5">
        <v>2</v>
      </c>
      <c r="G966" s="14">
        <v>32439</v>
      </c>
      <c r="H966" s="5">
        <v>612963</v>
      </c>
      <c r="I966" s="5" t="s">
        <v>14</v>
      </c>
    </row>
    <row r="967" spans="1:9" x14ac:dyDescent="0.4">
      <c r="A967" s="14">
        <v>43971</v>
      </c>
      <c r="B967" s="5">
        <v>91123</v>
      </c>
      <c r="C967" s="5" t="s">
        <v>30</v>
      </c>
      <c r="D967" s="5">
        <v>782</v>
      </c>
      <c r="E967" s="5">
        <v>4</v>
      </c>
      <c r="F967" s="5">
        <v>3</v>
      </c>
      <c r="G967" s="14">
        <v>29961</v>
      </c>
      <c r="H967" s="5">
        <v>613798</v>
      </c>
      <c r="I967" s="5" t="s">
        <v>14</v>
      </c>
    </row>
    <row r="968" spans="1:9" x14ac:dyDescent="0.4">
      <c r="A968" s="14">
        <v>43956</v>
      </c>
      <c r="B968" s="5">
        <v>87501</v>
      </c>
      <c r="C968" s="5" t="s">
        <v>33</v>
      </c>
      <c r="D968" s="5">
        <v>713</v>
      </c>
      <c r="E968" s="5">
        <v>1</v>
      </c>
      <c r="F968" s="5">
        <v>3</v>
      </c>
      <c r="G968" s="14">
        <v>32926</v>
      </c>
      <c r="H968" s="5">
        <v>534795</v>
      </c>
      <c r="I968" s="5" t="s">
        <v>10</v>
      </c>
    </row>
    <row r="969" spans="1:9" x14ac:dyDescent="0.4">
      <c r="A969" s="14">
        <v>44045</v>
      </c>
      <c r="B969" s="5">
        <v>36206</v>
      </c>
      <c r="C969" s="5" t="s">
        <v>18</v>
      </c>
      <c r="D969" s="5">
        <v>759</v>
      </c>
      <c r="E969" s="5">
        <v>4</v>
      </c>
      <c r="F969" s="5">
        <v>3</v>
      </c>
      <c r="G969" s="14">
        <v>32645</v>
      </c>
      <c r="H969" s="5">
        <v>843646</v>
      </c>
      <c r="I969" s="5" t="s">
        <v>10</v>
      </c>
    </row>
    <row r="970" spans="1:9" x14ac:dyDescent="0.4">
      <c r="A970" s="14">
        <v>43963</v>
      </c>
      <c r="B970" s="5">
        <v>64255</v>
      </c>
      <c r="C970" s="5" t="s">
        <v>32</v>
      </c>
      <c r="D970" s="5">
        <v>775</v>
      </c>
      <c r="E970" s="5">
        <v>1</v>
      </c>
      <c r="F970" s="5">
        <v>5</v>
      </c>
      <c r="G970" s="14">
        <v>32997</v>
      </c>
      <c r="H970" s="5">
        <v>987219</v>
      </c>
      <c r="I970" s="5" t="s">
        <v>10</v>
      </c>
    </row>
    <row r="971" spans="1:9" x14ac:dyDescent="0.4">
      <c r="A971" s="14">
        <v>44054</v>
      </c>
      <c r="B971" s="5">
        <v>63913</v>
      </c>
      <c r="C971" s="5" t="s">
        <v>27</v>
      </c>
      <c r="D971" s="5">
        <v>711</v>
      </c>
      <c r="E971" s="5">
        <v>3</v>
      </c>
      <c r="F971" s="5">
        <v>3</v>
      </c>
      <c r="G971" s="14">
        <v>30314</v>
      </c>
      <c r="H971" s="5">
        <v>909770</v>
      </c>
      <c r="I971" s="5" t="s">
        <v>14</v>
      </c>
    </row>
    <row r="972" spans="1:9" x14ac:dyDescent="0.4">
      <c r="A972" s="14">
        <v>44055</v>
      </c>
      <c r="B972" s="5">
        <v>42291</v>
      </c>
      <c r="C972" s="5" t="s">
        <v>34</v>
      </c>
      <c r="D972" s="5">
        <v>714</v>
      </c>
      <c r="E972" s="5">
        <v>3</v>
      </c>
      <c r="F972" s="5">
        <v>10</v>
      </c>
      <c r="G972" s="14">
        <v>29297</v>
      </c>
      <c r="H972" s="5">
        <v>876707</v>
      </c>
      <c r="I972" s="5" t="s">
        <v>10</v>
      </c>
    </row>
    <row r="973" spans="1:9" x14ac:dyDescent="0.4">
      <c r="A973" s="14">
        <v>44031</v>
      </c>
      <c r="B973" s="5">
        <v>94337</v>
      </c>
      <c r="C973" s="5" t="s">
        <v>29</v>
      </c>
      <c r="D973" s="5">
        <v>760</v>
      </c>
      <c r="E973" s="5">
        <v>5</v>
      </c>
      <c r="F973" s="5">
        <v>1</v>
      </c>
      <c r="G973" s="14">
        <v>32293</v>
      </c>
      <c r="H973" s="5">
        <v>697741</v>
      </c>
      <c r="I973" s="5" t="s">
        <v>14</v>
      </c>
    </row>
    <row r="974" spans="1:9" x14ac:dyDescent="0.4">
      <c r="A974" s="14">
        <v>44074</v>
      </c>
      <c r="B974" s="5">
        <v>58536</v>
      </c>
      <c r="C974" s="5" t="s">
        <v>33</v>
      </c>
      <c r="D974" s="5">
        <v>778</v>
      </c>
      <c r="E974" s="5">
        <v>5</v>
      </c>
      <c r="F974" s="5">
        <v>4</v>
      </c>
      <c r="G974" s="14">
        <v>34479</v>
      </c>
      <c r="H974" s="5">
        <v>718981</v>
      </c>
      <c r="I974" s="5" t="s">
        <v>10</v>
      </c>
    </row>
    <row r="975" spans="1:9" x14ac:dyDescent="0.4">
      <c r="A975" s="14">
        <v>44020</v>
      </c>
      <c r="B975" s="5">
        <v>80060</v>
      </c>
      <c r="C975" s="5" t="s">
        <v>32</v>
      </c>
      <c r="D975" s="5">
        <v>714</v>
      </c>
      <c r="E975" s="5">
        <v>4</v>
      </c>
      <c r="F975" s="5">
        <v>10</v>
      </c>
      <c r="G975" s="14">
        <v>29335</v>
      </c>
      <c r="H975" s="5">
        <v>624104</v>
      </c>
      <c r="I975" s="5" t="s">
        <v>14</v>
      </c>
    </row>
    <row r="976" spans="1:9" x14ac:dyDescent="0.4">
      <c r="A976" s="14">
        <v>44050</v>
      </c>
      <c r="B976" s="5">
        <v>49766</v>
      </c>
      <c r="C976" s="5" t="s">
        <v>11</v>
      </c>
      <c r="D976" s="5">
        <v>797</v>
      </c>
      <c r="E976" s="5">
        <v>3</v>
      </c>
      <c r="F976" s="5">
        <v>9</v>
      </c>
      <c r="G976" s="14">
        <v>32394</v>
      </c>
      <c r="H976" s="5">
        <v>875743</v>
      </c>
      <c r="I976" s="5" t="s">
        <v>17</v>
      </c>
    </row>
    <row r="977" spans="1:9" x14ac:dyDescent="0.4">
      <c r="A977" s="14">
        <v>44101</v>
      </c>
      <c r="B977" s="5">
        <v>10463</v>
      </c>
      <c r="C977" s="5" t="s">
        <v>24</v>
      </c>
      <c r="D977" s="5">
        <v>754</v>
      </c>
      <c r="E977" s="5">
        <v>5</v>
      </c>
      <c r="F977" s="5">
        <v>10</v>
      </c>
      <c r="G977" s="14">
        <v>29432</v>
      </c>
      <c r="H977" s="5">
        <v>681450</v>
      </c>
      <c r="I977" s="5" t="s">
        <v>10</v>
      </c>
    </row>
    <row r="978" spans="1:9" x14ac:dyDescent="0.4">
      <c r="A978" s="14">
        <v>43913</v>
      </c>
      <c r="B978" s="5">
        <v>32408</v>
      </c>
      <c r="C978" s="5" t="s">
        <v>29</v>
      </c>
      <c r="D978" s="5">
        <v>723</v>
      </c>
      <c r="E978" s="5">
        <v>2</v>
      </c>
      <c r="F978" s="5">
        <v>4</v>
      </c>
      <c r="G978" s="14">
        <v>33656</v>
      </c>
      <c r="H978" s="5">
        <v>708158</v>
      </c>
      <c r="I978" s="5" t="s">
        <v>17</v>
      </c>
    </row>
    <row r="979" spans="1:9" x14ac:dyDescent="0.4">
      <c r="A979" s="14">
        <v>43891</v>
      </c>
      <c r="B979" s="5">
        <v>60891</v>
      </c>
      <c r="C979" s="5" t="s">
        <v>16</v>
      </c>
      <c r="D979" s="5">
        <v>720</v>
      </c>
      <c r="E979" s="5">
        <v>3</v>
      </c>
      <c r="F979" s="5">
        <v>6</v>
      </c>
      <c r="G979" s="14">
        <v>29627</v>
      </c>
      <c r="H979" s="5">
        <v>661419</v>
      </c>
      <c r="I979" s="5" t="s">
        <v>17</v>
      </c>
    </row>
    <row r="980" spans="1:9" x14ac:dyDescent="0.4">
      <c r="A980" s="14">
        <v>44100</v>
      </c>
      <c r="B980" s="5">
        <v>84687</v>
      </c>
      <c r="C980" s="5" t="s">
        <v>19</v>
      </c>
      <c r="D980" s="5">
        <v>764</v>
      </c>
      <c r="E980" s="5">
        <v>3</v>
      </c>
      <c r="F980" s="5">
        <v>7</v>
      </c>
      <c r="G980" s="14">
        <v>30779</v>
      </c>
      <c r="H980" s="5">
        <v>828750</v>
      </c>
      <c r="I980" s="5" t="s">
        <v>14</v>
      </c>
    </row>
    <row r="981" spans="1:9" x14ac:dyDescent="0.4">
      <c r="A981" s="14">
        <v>43980</v>
      </c>
      <c r="B981" s="5">
        <v>80726</v>
      </c>
      <c r="C981" s="5" t="s">
        <v>11</v>
      </c>
      <c r="D981" s="5">
        <v>704</v>
      </c>
      <c r="E981" s="5">
        <v>5</v>
      </c>
      <c r="F981" s="5">
        <v>2</v>
      </c>
      <c r="G981" s="14">
        <v>31493</v>
      </c>
      <c r="H981" s="5">
        <v>756646</v>
      </c>
      <c r="I981" s="5" t="s">
        <v>14</v>
      </c>
    </row>
    <row r="982" spans="1:9" x14ac:dyDescent="0.4">
      <c r="A982" s="14">
        <v>43959</v>
      </c>
      <c r="B982" s="5">
        <v>32817</v>
      </c>
      <c r="C982" s="5" t="s">
        <v>35</v>
      </c>
      <c r="D982" s="5">
        <v>794</v>
      </c>
      <c r="E982" s="5">
        <v>1</v>
      </c>
      <c r="F982" s="5">
        <v>8</v>
      </c>
      <c r="G982" s="14">
        <v>32933</v>
      </c>
      <c r="H982" s="5">
        <v>852706</v>
      </c>
      <c r="I982" s="5" t="s">
        <v>14</v>
      </c>
    </row>
    <row r="983" spans="1:9" x14ac:dyDescent="0.4">
      <c r="A983" s="14">
        <v>44123</v>
      </c>
      <c r="B983" s="5">
        <v>12243</v>
      </c>
      <c r="C983" s="5" t="s">
        <v>29</v>
      </c>
      <c r="D983" s="5">
        <v>774</v>
      </c>
      <c r="E983" s="5">
        <v>3</v>
      </c>
      <c r="F983" s="5">
        <v>6</v>
      </c>
      <c r="G983" s="14">
        <v>34153</v>
      </c>
      <c r="H983" s="5">
        <v>624082</v>
      </c>
      <c r="I983" s="5" t="s">
        <v>10</v>
      </c>
    </row>
    <row r="984" spans="1:9" x14ac:dyDescent="0.4">
      <c r="A984" s="14">
        <v>44148</v>
      </c>
      <c r="B984" s="5">
        <v>25020</v>
      </c>
      <c r="C984" s="5" t="s">
        <v>11</v>
      </c>
      <c r="D984" s="5">
        <v>705</v>
      </c>
      <c r="E984" s="5">
        <v>1</v>
      </c>
      <c r="F984" s="5">
        <v>8</v>
      </c>
      <c r="G984" s="14">
        <v>31021</v>
      </c>
      <c r="H984" s="5">
        <v>612503</v>
      </c>
      <c r="I984" s="5" t="s">
        <v>10</v>
      </c>
    </row>
    <row r="985" spans="1:9" x14ac:dyDescent="0.4">
      <c r="A985" s="14">
        <v>43864</v>
      </c>
      <c r="B985" s="5">
        <v>96631</v>
      </c>
      <c r="C985" s="5" t="s">
        <v>9</v>
      </c>
      <c r="D985" s="5">
        <v>716</v>
      </c>
      <c r="E985" s="5">
        <v>3</v>
      </c>
      <c r="F985" s="5">
        <v>4</v>
      </c>
      <c r="G985" s="14">
        <v>29932</v>
      </c>
      <c r="H985" s="5">
        <v>951262</v>
      </c>
      <c r="I985" s="5" t="s">
        <v>14</v>
      </c>
    </row>
    <row r="986" spans="1:9" x14ac:dyDescent="0.4">
      <c r="A986" s="14">
        <v>44132</v>
      </c>
      <c r="B986" s="5">
        <v>90785</v>
      </c>
      <c r="C986" s="5" t="s">
        <v>33</v>
      </c>
      <c r="D986" s="5">
        <v>765</v>
      </c>
      <c r="E986" s="5">
        <v>4</v>
      </c>
      <c r="F986" s="5">
        <v>7</v>
      </c>
      <c r="G986" s="14">
        <v>32174</v>
      </c>
      <c r="H986" s="5">
        <v>807954</v>
      </c>
      <c r="I986" s="5" t="s">
        <v>10</v>
      </c>
    </row>
    <row r="987" spans="1:9" x14ac:dyDescent="0.4">
      <c r="A987" s="14">
        <v>44145</v>
      </c>
      <c r="B987" s="5">
        <v>50257</v>
      </c>
      <c r="C987" s="5" t="s">
        <v>33</v>
      </c>
      <c r="D987" s="5">
        <v>741</v>
      </c>
      <c r="E987" s="5">
        <v>3</v>
      </c>
      <c r="F987" s="5">
        <v>3</v>
      </c>
      <c r="G987" s="14">
        <v>34362</v>
      </c>
      <c r="H987" s="5">
        <v>892679</v>
      </c>
      <c r="I987" s="5" t="s">
        <v>10</v>
      </c>
    </row>
    <row r="988" spans="1:9" x14ac:dyDescent="0.4">
      <c r="A988" s="14">
        <v>44124</v>
      </c>
      <c r="B988" s="5">
        <v>79559</v>
      </c>
      <c r="C988" s="5" t="s">
        <v>22</v>
      </c>
      <c r="D988" s="5">
        <v>780</v>
      </c>
      <c r="E988" s="5">
        <v>4</v>
      </c>
      <c r="F988" s="5">
        <v>10</v>
      </c>
      <c r="G988" s="14">
        <v>29278</v>
      </c>
      <c r="H988" s="5">
        <v>717221</v>
      </c>
      <c r="I988" s="5" t="s">
        <v>17</v>
      </c>
    </row>
    <row r="989" spans="1:9" x14ac:dyDescent="0.4">
      <c r="A989" s="14">
        <v>44155</v>
      </c>
      <c r="B989" s="5">
        <v>19368</v>
      </c>
      <c r="C989" s="5" t="s">
        <v>30</v>
      </c>
      <c r="D989" s="5">
        <v>700</v>
      </c>
      <c r="E989" s="5">
        <v>5</v>
      </c>
      <c r="F989" s="5">
        <v>10</v>
      </c>
      <c r="G989" s="14">
        <v>31949</v>
      </c>
      <c r="H989" s="5">
        <v>789854</v>
      </c>
      <c r="I989" s="5" t="s">
        <v>10</v>
      </c>
    </row>
    <row r="990" spans="1:9" x14ac:dyDescent="0.4">
      <c r="A990" s="14">
        <v>43889</v>
      </c>
      <c r="B990" s="5">
        <v>61780</v>
      </c>
      <c r="C990" s="5" t="s">
        <v>9</v>
      </c>
      <c r="D990" s="5">
        <v>702</v>
      </c>
      <c r="E990" s="5">
        <v>2</v>
      </c>
      <c r="F990" s="5">
        <v>7</v>
      </c>
      <c r="G990" s="14">
        <v>32075</v>
      </c>
      <c r="H990" s="5">
        <v>696125</v>
      </c>
      <c r="I990" s="5" t="s">
        <v>14</v>
      </c>
    </row>
    <row r="991" spans="1:9" x14ac:dyDescent="0.4">
      <c r="A991" s="14">
        <v>44044</v>
      </c>
      <c r="B991" s="5">
        <v>13669</v>
      </c>
      <c r="C991" s="5" t="s">
        <v>26</v>
      </c>
      <c r="D991" s="5">
        <v>757</v>
      </c>
      <c r="E991" s="5">
        <v>2</v>
      </c>
      <c r="F991" s="5">
        <v>6</v>
      </c>
      <c r="G991" s="14">
        <v>30527</v>
      </c>
      <c r="H991" s="5">
        <v>541389</v>
      </c>
      <c r="I991" s="5" t="s">
        <v>14</v>
      </c>
    </row>
    <row r="992" spans="1:9" x14ac:dyDescent="0.4">
      <c r="A992" s="14">
        <v>44004</v>
      </c>
      <c r="B992" s="5">
        <v>76498</v>
      </c>
      <c r="C992" s="5" t="s">
        <v>15</v>
      </c>
      <c r="D992" s="5">
        <v>713</v>
      </c>
      <c r="E992" s="5">
        <v>2</v>
      </c>
      <c r="F992" s="5">
        <v>8</v>
      </c>
      <c r="G992" s="14">
        <v>30779</v>
      </c>
      <c r="H992" s="5">
        <v>617205</v>
      </c>
      <c r="I992" s="5" t="s">
        <v>14</v>
      </c>
    </row>
    <row r="993" spans="1:9" x14ac:dyDescent="0.4">
      <c r="A993" s="14">
        <v>43878</v>
      </c>
      <c r="B993" s="5">
        <v>17859</v>
      </c>
      <c r="C993" s="5" t="s">
        <v>33</v>
      </c>
      <c r="D993" s="5">
        <v>770</v>
      </c>
      <c r="E993" s="5">
        <v>2</v>
      </c>
      <c r="F993" s="5">
        <v>4</v>
      </c>
      <c r="G993" s="14">
        <v>33664</v>
      </c>
      <c r="H993" s="5">
        <v>530186</v>
      </c>
      <c r="I993" s="5" t="s">
        <v>14</v>
      </c>
    </row>
    <row r="994" spans="1:9" x14ac:dyDescent="0.4">
      <c r="A994" s="14">
        <v>44033</v>
      </c>
      <c r="B994" s="5">
        <v>17004</v>
      </c>
      <c r="C994" s="5" t="s">
        <v>31</v>
      </c>
      <c r="D994" s="5">
        <v>792</v>
      </c>
      <c r="E994" s="5">
        <v>1</v>
      </c>
      <c r="F994" s="5">
        <v>5</v>
      </c>
      <c r="G994" s="14">
        <v>33294</v>
      </c>
      <c r="H994" s="5">
        <v>673875</v>
      </c>
      <c r="I994" s="5" t="s">
        <v>14</v>
      </c>
    </row>
    <row r="995" spans="1:9" x14ac:dyDescent="0.4">
      <c r="A995" s="14">
        <v>43840</v>
      </c>
      <c r="B995" s="5">
        <v>61867</v>
      </c>
      <c r="C995" s="5" t="s">
        <v>13</v>
      </c>
      <c r="D995" s="5">
        <v>705</v>
      </c>
      <c r="E995" s="5">
        <v>2</v>
      </c>
      <c r="F995" s="5">
        <v>10</v>
      </c>
      <c r="G995" s="14">
        <v>32809</v>
      </c>
      <c r="H995" s="5">
        <v>915797</v>
      </c>
      <c r="I995" s="5" t="s">
        <v>14</v>
      </c>
    </row>
    <row r="996" spans="1:9" x14ac:dyDescent="0.4">
      <c r="A996" s="14">
        <v>43913</v>
      </c>
      <c r="B996" s="5">
        <v>38163</v>
      </c>
      <c r="C996" s="5" t="s">
        <v>25</v>
      </c>
      <c r="D996" s="5">
        <v>789</v>
      </c>
      <c r="E996" s="5">
        <v>4</v>
      </c>
      <c r="F996" s="5">
        <v>2</v>
      </c>
      <c r="G996" s="14">
        <v>29351</v>
      </c>
      <c r="H996" s="5">
        <v>620332</v>
      </c>
      <c r="I996" s="5" t="s">
        <v>17</v>
      </c>
    </row>
    <row r="997" spans="1:9" x14ac:dyDescent="0.4">
      <c r="A997" s="14">
        <v>43921</v>
      </c>
      <c r="B997" s="5">
        <v>79897</v>
      </c>
      <c r="C997" s="5" t="s">
        <v>19</v>
      </c>
      <c r="D997" s="5">
        <v>780</v>
      </c>
      <c r="E997" s="5">
        <v>4</v>
      </c>
      <c r="F997" s="5">
        <v>4</v>
      </c>
      <c r="G997" s="14">
        <v>31978</v>
      </c>
      <c r="H997" s="5">
        <v>838547</v>
      </c>
      <c r="I997" s="5" t="s">
        <v>10</v>
      </c>
    </row>
    <row r="998" spans="1:9" x14ac:dyDescent="0.4">
      <c r="A998" s="14">
        <v>43915</v>
      </c>
      <c r="B998" s="5">
        <v>16104</v>
      </c>
      <c r="C998" s="5" t="s">
        <v>26</v>
      </c>
      <c r="D998" s="5">
        <v>771</v>
      </c>
      <c r="E998" s="5">
        <v>2</v>
      </c>
      <c r="F998" s="5">
        <v>8</v>
      </c>
      <c r="G998" s="14">
        <v>34126</v>
      </c>
      <c r="H998" s="5">
        <v>733075</v>
      </c>
      <c r="I998" s="5" t="s">
        <v>10</v>
      </c>
    </row>
    <row r="999" spans="1:9" x14ac:dyDescent="0.4">
      <c r="A999" s="14">
        <v>43861</v>
      </c>
      <c r="B999" s="5">
        <v>53546</v>
      </c>
      <c r="C999" s="5" t="s">
        <v>11</v>
      </c>
      <c r="D999" s="5">
        <v>766</v>
      </c>
      <c r="E999" s="5">
        <v>1</v>
      </c>
      <c r="F999" s="5">
        <v>2</v>
      </c>
      <c r="G999" s="14">
        <v>33575</v>
      </c>
      <c r="H999" s="5">
        <v>535279</v>
      </c>
      <c r="I999" s="5" t="s">
        <v>10</v>
      </c>
    </row>
    <row r="1000" spans="1:9" x14ac:dyDescent="0.4">
      <c r="A1000" s="14">
        <v>43852</v>
      </c>
      <c r="B1000" s="5">
        <v>85809</v>
      </c>
      <c r="C1000" s="5" t="s">
        <v>18</v>
      </c>
      <c r="D1000" s="5">
        <v>787</v>
      </c>
      <c r="E1000" s="5">
        <v>5</v>
      </c>
      <c r="F1000" s="5">
        <v>7</v>
      </c>
      <c r="G1000" s="14">
        <v>31634</v>
      </c>
      <c r="H1000" s="5">
        <v>762307</v>
      </c>
      <c r="I1000" s="5" t="s">
        <v>14</v>
      </c>
    </row>
    <row r="1001" spans="1:9" x14ac:dyDescent="0.4">
      <c r="A1001" s="14">
        <v>43882</v>
      </c>
      <c r="B1001" s="5">
        <v>46575</v>
      </c>
      <c r="C1001" s="5" t="s">
        <v>21</v>
      </c>
      <c r="D1001" s="5">
        <v>727</v>
      </c>
      <c r="E1001" s="5">
        <v>2</v>
      </c>
      <c r="F1001" s="5">
        <v>9</v>
      </c>
      <c r="G1001" s="14">
        <v>29710</v>
      </c>
      <c r="H1001" s="5">
        <v>962245</v>
      </c>
      <c r="I1001" s="5" t="s">
        <v>17</v>
      </c>
    </row>
    <row r="1002" spans="1:9" x14ac:dyDescent="0.4">
      <c r="A1002" s="14">
        <v>43938</v>
      </c>
      <c r="B1002" s="5">
        <v>33717</v>
      </c>
      <c r="C1002" s="5" t="s">
        <v>19</v>
      </c>
      <c r="D1002" s="5">
        <v>745</v>
      </c>
      <c r="E1002" s="5">
        <v>2</v>
      </c>
      <c r="F1002" s="5">
        <v>1</v>
      </c>
      <c r="G1002" s="14">
        <v>32470</v>
      </c>
      <c r="H1002" s="5">
        <v>646858</v>
      </c>
      <c r="I1002" s="5" t="s">
        <v>17</v>
      </c>
    </row>
    <row r="1003" spans="1:9" x14ac:dyDescent="0.4">
      <c r="A1003" s="14">
        <v>43893</v>
      </c>
      <c r="B1003" s="5">
        <v>57492</v>
      </c>
      <c r="C1003" s="5" t="s">
        <v>20</v>
      </c>
      <c r="D1003" s="5">
        <v>778</v>
      </c>
      <c r="E1003" s="5">
        <v>5</v>
      </c>
      <c r="F1003" s="5">
        <v>6</v>
      </c>
      <c r="G1003" s="14">
        <v>33754</v>
      </c>
      <c r="H1003" s="5">
        <v>732657</v>
      </c>
      <c r="I1003" s="5" t="s">
        <v>10</v>
      </c>
    </row>
    <row r="1004" spans="1:9" x14ac:dyDescent="0.4">
      <c r="A1004" s="14">
        <v>44149</v>
      </c>
      <c r="B1004" s="5">
        <v>36629</v>
      </c>
      <c r="C1004" s="5" t="s">
        <v>27</v>
      </c>
      <c r="D1004" s="5">
        <v>754</v>
      </c>
      <c r="E1004" s="5">
        <v>3</v>
      </c>
      <c r="F1004" s="5">
        <v>1</v>
      </c>
      <c r="G1004" s="14">
        <v>32068</v>
      </c>
      <c r="H1004" s="5">
        <v>768223</v>
      </c>
      <c r="I1004" s="5" t="s">
        <v>10</v>
      </c>
    </row>
    <row r="1005" spans="1:9" x14ac:dyDescent="0.4">
      <c r="A1005" s="14">
        <v>44032</v>
      </c>
      <c r="B1005" s="5">
        <v>73789</v>
      </c>
      <c r="C1005" s="5" t="s">
        <v>18</v>
      </c>
      <c r="D1005" s="5">
        <v>799</v>
      </c>
      <c r="E1005" s="5">
        <v>2</v>
      </c>
      <c r="F1005" s="5">
        <v>2</v>
      </c>
      <c r="G1005" s="14">
        <v>30692</v>
      </c>
      <c r="H1005" s="5">
        <v>918795</v>
      </c>
      <c r="I1005" s="5" t="s">
        <v>17</v>
      </c>
    </row>
    <row r="1006" spans="1:9" x14ac:dyDescent="0.4">
      <c r="A1006" s="14">
        <v>44115</v>
      </c>
      <c r="B1006" s="5">
        <v>19295</v>
      </c>
      <c r="C1006" s="5" t="s">
        <v>27</v>
      </c>
      <c r="D1006" s="5">
        <v>740</v>
      </c>
      <c r="E1006" s="5">
        <v>5</v>
      </c>
      <c r="F1006" s="5">
        <v>5</v>
      </c>
      <c r="G1006" s="14">
        <v>32186</v>
      </c>
      <c r="H1006" s="5">
        <v>985779</v>
      </c>
      <c r="I1006" s="5" t="s">
        <v>14</v>
      </c>
    </row>
    <row r="1007" spans="1:9" x14ac:dyDescent="0.4">
      <c r="A1007" s="14">
        <v>43860</v>
      </c>
      <c r="B1007" s="5">
        <v>49386</v>
      </c>
      <c r="C1007" s="5" t="s">
        <v>29</v>
      </c>
      <c r="D1007" s="5">
        <v>757</v>
      </c>
      <c r="E1007" s="5">
        <v>1</v>
      </c>
      <c r="F1007" s="5">
        <v>1</v>
      </c>
      <c r="G1007" s="14">
        <v>29457</v>
      </c>
      <c r="H1007" s="5">
        <v>776038</v>
      </c>
      <c r="I1007" s="5" t="s">
        <v>17</v>
      </c>
    </row>
    <row r="1008" spans="1:9" x14ac:dyDescent="0.4">
      <c r="A1008" s="14">
        <v>43844</v>
      </c>
      <c r="B1008" s="5">
        <v>61144</v>
      </c>
      <c r="C1008" s="5" t="s">
        <v>19</v>
      </c>
      <c r="D1008" s="5">
        <v>752</v>
      </c>
      <c r="E1008" s="5">
        <v>5</v>
      </c>
      <c r="F1008" s="5">
        <v>3</v>
      </c>
      <c r="G1008" s="14">
        <v>30756</v>
      </c>
      <c r="H1008" s="5">
        <v>940912</v>
      </c>
      <c r="I1008" s="5" t="s">
        <v>14</v>
      </c>
    </row>
    <row r="1009" spans="1:9" x14ac:dyDescent="0.4">
      <c r="A1009" s="14">
        <v>44051</v>
      </c>
      <c r="B1009" s="5">
        <v>19566</v>
      </c>
      <c r="C1009" s="5" t="s">
        <v>22</v>
      </c>
      <c r="D1009" s="5">
        <v>766</v>
      </c>
      <c r="E1009" s="5">
        <v>3</v>
      </c>
      <c r="F1009" s="5">
        <v>9</v>
      </c>
      <c r="G1009" s="14">
        <v>33830</v>
      </c>
      <c r="H1009" s="5">
        <v>618476</v>
      </c>
      <c r="I1009" s="5" t="s">
        <v>10</v>
      </c>
    </row>
    <row r="1010" spans="1:9" x14ac:dyDescent="0.4">
      <c r="A1010" s="14">
        <v>43986</v>
      </c>
      <c r="B1010" s="5">
        <v>11445</v>
      </c>
      <c r="C1010" s="5" t="s">
        <v>35</v>
      </c>
      <c r="D1010" s="5">
        <v>712</v>
      </c>
      <c r="E1010" s="5">
        <v>2</v>
      </c>
      <c r="F1010" s="5">
        <v>1</v>
      </c>
      <c r="G1010" s="14">
        <v>29288</v>
      </c>
      <c r="H1010" s="5">
        <v>687683</v>
      </c>
      <c r="I1010" s="5" t="s">
        <v>17</v>
      </c>
    </row>
    <row r="1011" spans="1:9" x14ac:dyDescent="0.4">
      <c r="A1011" s="14">
        <v>43884</v>
      </c>
      <c r="B1011" s="5">
        <v>20026</v>
      </c>
      <c r="C1011" s="5" t="s">
        <v>32</v>
      </c>
      <c r="D1011" s="5">
        <v>755</v>
      </c>
      <c r="E1011" s="5">
        <v>2</v>
      </c>
      <c r="F1011" s="5">
        <v>1</v>
      </c>
      <c r="G1011" s="14">
        <v>31583</v>
      </c>
      <c r="H1011" s="5">
        <v>609843</v>
      </c>
      <c r="I1011" s="5" t="s">
        <v>17</v>
      </c>
    </row>
    <row r="1012" spans="1:9" x14ac:dyDescent="0.4">
      <c r="A1012" s="14">
        <v>43837</v>
      </c>
      <c r="B1012" s="5">
        <v>35201</v>
      </c>
      <c r="C1012" s="5" t="s">
        <v>35</v>
      </c>
      <c r="D1012" s="5">
        <v>799</v>
      </c>
      <c r="E1012" s="5">
        <v>5</v>
      </c>
      <c r="F1012" s="5">
        <v>4</v>
      </c>
      <c r="G1012" s="14">
        <v>33109</v>
      </c>
      <c r="H1012" s="5">
        <v>837532</v>
      </c>
      <c r="I1012" s="5" t="s">
        <v>10</v>
      </c>
    </row>
    <row r="1013" spans="1:9" x14ac:dyDescent="0.4">
      <c r="A1013" s="14">
        <v>43922</v>
      </c>
      <c r="B1013" s="5">
        <v>43002</v>
      </c>
      <c r="C1013" s="5" t="s">
        <v>30</v>
      </c>
      <c r="D1013" s="5">
        <v>733</v>
      </c>
      <c r="E1013" s="5">
        <v>2</v>
      </c>
      <c r="F1013" s="5">
        <v>8</v>
      </c>
      <c r="G1013" s="14">
        <v>29440</v>
      </c>
      <c r="H1013" s="5">
        <v>546755</v>
      </c>
      <c r="I1013" s="5" t="s">
        <v>17</v>
      </c>
    </row>
    <row r="1014" spans="1:9" x14ac:dyDescent="0.4">
      <c r="A1014" s="14">
        <v>43995</v>
      </c>
      <c r="B1014" s="5">
        <v>49971</v>
      </c>
      <c r="C1014" s="5" t="s">
        <v>22</v>
      </c>
      <c r="D1014" s="5">
        <v>760</v>
      </c>
      <c r="E1014" s="5">
        <v>5</v>
      </c>
      <c r="F1014" s="5">
        <v>2</v>
      </c>
      <c r="G1014" s="14">
        <v>30520</v>
      </c>
      <c r="H1014" s="5">
        <v>899368</v>
      </c>
      <c r="I1014" s="5" t="s">
        <v>17</v>
      </c>
    </row>
    <row r="1015" spans="1:9" x14ac:dyDescent="0.4">
      <c r="A1015" s="14">
        <v>44028</v>
      </c>
      <c r="B1015" s="5">
        <v>36343</v>
      </c>
      <c r="C1015" s="5" t="s">
        <v>20</v>
      </c>
      <c r="D1015" s="5">
        <v>730</v>
      </c>
      <c r="E1015" s="5">
        <v>3</v>
      </c>
      <c r="F1015" s="5">
        <v>10</v>
      </c>
      <c r="G1015" s="14">
        <v>31441</v>
      </c>
      <c r="H1015" s="5">
        <v>824547</v>
      </c>
      <c r="I1015" s="5" t="s">
        <v>10</v>
      </c>
    </row>
    <row r="1016" spans="1:9" x14ac:dyDescent="0.4">
      <c r="A1016" s="14">
        <v>43973</v>
      </c>
      <c r="B1016" s="5">
        <v>95876</v>
      </c>
      <c r="C1016" s="5" t="s">
        <v>25</v>
      </c>
      <c r="D1016" s="5">
        <v>731</v>
      </c>
      <c r="E1016" s="5">
        <v>4</v>
      </c>
      <c r="F1016" s="5">
        <v>10</v>
      </c>
      <c r="G1016" s="14">
        <v>30662</v>
      </c>
      <c r="H1016" s="5">
        <v>850116</v>
      </c>
      <c r="I1016" s="5" t="s">
        <v>17</v>
      </c>
    </row>
    <row r="1017" spans="1:9" x14ac:dyDescent="0.4">
      <c r="A1017" s="14">
        <v>44124</v>
      </c>
      <c r="B1017" s="5">
        <v>73856</v>
      </c>
      <c r="C1017" s="5" t="s">
        <v>24</v>
      </c>
      <c r="D1017" s="5">
        <v>745</v>
      </c>
      <c r="E1017" s="5">
        <v>3</v>
      </c>
      <c r="F1017" s="5">
        <v>1</v>
      </c>
      <c r="G1017" s="14">
        <v>30178</v>
      </c>
      <c r="H1017" s="5">
        <v>582643</v>
      </c>
      <c r="I1017" s="5" t="s">
        <v>14</v>
      </c>
    </row>
    <row r="1018" spans="1:9" x14ac:dyDescent="0.4">
      <c r="A1018" s="14">
        <v>43860</v>
      </c>
      <c r="B1018" s="5">
        <v>71244</v>
      </c>
      <c r="C1018" s="5" t="s">
        <v>16</v>
      </c>
      <c r="D1018" s="5">
        <v>700</v>
      </c>
      <c r="E1018" s="5">
        <v>3</v>
      </c>
      <c r="F1018" s="5">
        <v>2</v>
      </c>
      <c r="G1018" s="14">
        <v>31685</v>
      </c>
      <c r="H1018" s="5">
        <v>516827</v>
      </c>
      <c r="I1018" s="5" t="s">
        <v>14</v>
      </c>
    </row>
    <row r="1019" spans="1:9" x14ac:dyDescent="0.4">
      <c r="A1019" s="14">
        <v>43973</v>
      </c>
      <c r="B1019" s="5">
        <v>52836</v>
      </c>
      <c r="C1019" s="5" t="s">
        <v>15</v>
      </c>
      <c r="D1019" s="5">
        <v>738</v>
      </c>
      <c r="E1019" s="5">
        <v>1</v>
      </c>
      <c r="F1019" s="5">
        <v>10</v>
      </c>
      <c r="G1019" s="14">
        <v>31648</v>
      </c>
      <c r="H1019" s="5">
        <v>957585</v>
      </c>
      <c r="I1019" s="5" t="s">
        <v>10</v>
      </c>
    </row>
    <row r="1020" spans="1:9" x14ac:dyDescent="0.4">
      <c r="A1020" s="14">
        <v>43931</v>
      </c>
      <c r="B1020" s="5">
        <v>59488</v>
      </c>
      <c r="C1020" s="5" t="s">
        <v>24</v>
      </c>
      <c r="D1020" s="5">
        <v>748</v>
      </c>
      <c r="E1020" s="5">
        <v>5</v>
      </c>
      <c r="F1020" s="5">
        <v>7</v>
      </c>
      <c r="G1020" s="14">
        <v>30035</v>
      </c>
      <c r="H1020" s="5">
        <v>611961</v>
      </c>
      <c r="I1020" s="5" t="s">
        <v>17</v>
      </c>
    </row>
    <row r="1021" spans="1:9" x14ac:dyDescent="0.4">
      <c r="A1021" s="14">
        <v>44126</v>
      </c>
      <c r="B1021" s="5">
        <v>45960</v>
      </c>
      <c r="C1021" s="5" t="s">
        <v>13</v>
      </c>
      <c r="D1021" s="5">
        <v>725</v>
      </c>
      <c r="E1021" s="5">
        <v>2</v>
      </c>
      <c r="F1021" s="5">
        <v>4</v>
      </c>
      <c r="G1021" s="14">
        <v>30348</v>
      </c>
      <c r="H1021" s="5">
        <v>793273</v>
      </c>
      <c r="I1021" s="5" t="s">
        <v>10</v>
      </c>
    </row>
    <row r="1022" spans="1:9" x14ac:dyDescent="0.4">
      <c r="A1022" s="14">
        <v>43894</v>
      </c>
      <c r="B1022" s="5">
        <v>33980</v>
      </c>
      <c r="C1022" s="5" t="s">
        <v>28</v>
      </c>
      <c r="D1022" s="5">
        <v>743</v>
      </c>
      <c r="E1022" s="5">
        <v>1</v>
      </c>
      <c r="F1022" s="5">
        <v>4</v>
      </c>
      <c r="G1022" s="14">
        <v>32426</v>
      </c>
      <c r="H1022" s="5">
        <v>631678</v>
      </c>
      <c r="I1022" s="5" t="s">
        <v>17</v>
      </c>
    </row>
    <row r="1023" spans="1:9" x14ac:dyDescent="0.4">
      <c r="A1023" s="14">
        <v>44113</v>
      </c>
      <c r="B1023" s="5">
        <v>75088</v>
      </c>
      <c r="C1023" s="5" t="s">
        <v>15</v>
      </c>
      <c r="D1023" s="5">
        <v>730</v>
      </c>
      <c r="E1023" s="5">
        <v>3</v>
      </c>
      <c r="F1023" s="5">
        <v>4</v>
      </c>
      <c r="G1023" s="14">
        <v>33944</v>
      </c>
      <c r="H1023" s="5">
        <v>537568</v>
      </c>
      <c r="I1023" s="5" t="s">
        <v>14</v>
      </c>
    </row>
    <row r="1024" spans="1:9" x14ac:dyDescent="0.4">
      <c r="A1024" s="14">
        <v>44134</v>
      </c>
      <c r="B1024" s="5">
        <v>39103</v>
      </c>
      <c r="C1024" s="5" t="s">
        <v>28</v>
      </c>
      <c r="D1024" s="5">
        <v>711</v>
      </c>
      <c r="E1024" s="5">
        <v>5</v>
      </c>
      <c r="F1024" s="5">
        <v>3</v>
      </c>
      <c r="G1024" s="14">
        <v>30925</v>
      </c>
      <c r="H1024" s="5">
        <v>777747</v>
      </c>
      <c r="I1024" s="5" t="s">
        <v>17</v>
      </c>
    </row>
    <row r="1025" spans="1:9" x14ac:dyDescent="0.4">
      <c r="A1025" s="14">
        <v>43878</v>
      </c>
      <c r="B1025" s="5">
        <v>87455</v>
      </c>
      <c r="C1025" s="5" t="s">
        <v>21</v>
      </c>
      <c r="D1025" s="5">
        <v>703</v>
      </c>
      <c r="E1025" s="5">
        <v>2</v>
      </c>
      <c r="F1025" s="5">
        <v>10</v>
      </c>
      <c r="G1025" s="14">
        <v>34649</v>
      </c>
      <c r="H1025" s="5">
        <v>906813</v>
      </c>
      <c r="I1025" s="5" t="s">
        <v>10</v>
      </c>
    </row>
    <row r="1026" spans="1:9" x14ac:dyDescent="0.4">
      <c r="A1026" s="14">
        <v>43838</v>
      </c>
      <c r="B1026" s="5">
        <v>96599</v>
      </c>
      <c r="C1026" s="5" t="s">
        <v>32</v>
      </c>
      <c r="D1026" s="5">
        <v>702</v>
      </c>
      <c r="E1026" s="5">
        <v>5</v>
      </c>
      <c r="F1026" s="5">
        <v>5</v>
      </c>
      <c r="G1026" s="14">
        <v>33119</v>
      </c>
      <c r="H1026" s="5">
        <v>983428</v>
      </c>
      <c r="I1026" s="5" t="s">
        <v>17</v>
      </c>
    </row>
    <row r="1027" spans="1:9" x14ac:dyDescent="0.4">
      <c r="A1027" s="14">
        <v>43921</v>
      </c>
      <c r="B1027" s="5">
        <v>44345</v>
      </c>
      <c r="C1027" s="5" t="s">
        <v>16</v>
      </c>
      <c r="D1027" s="5">
        <v>797</v>
      </c>
      <c r="E1027" s="5">
        <v>3</v>
      </c>
      <c r="F1027" s="5">
        <v>2</v>
      </c>
      <c r="G1027" s="14">
        <v>30050</v>
      </c>
      <c r="H1027" s="5">
        <v>575822</v>
      </c>
      <c r="I1027" s="5" t="s">
        <v>17</v>
      </c>
    </row>
    <row r="1028" spans="1:9" x14ac:dyDescent="0.4">
      <c r="A1028" s="14">
        <v>44154</v>
      </c>
      <c r="B1028" s="5">
        <v>78197</v>
      </c>
      <c r="C1028" s="5" t="s">
        <v>29</v>
      </c>
      <c r="D1028" s="5">
        <v>713</v>
      </c>
      <c r="E1028" s="5">
        <v>2</v>
      </c>
      <c r="F1028" s="5">
        <v>2</v>
      </c>
      <c r="G1028" s="14">
        <v>32504</v>
      </c>
      <c r="H1028" s="5">
        <v>662184</v>
      </c>
      <c r="I1028" s="5" t="s">
        <v>17</v>
      </c>
    </row>
    <row r="1029" spans="1:9" x14ac:dyDescent="0.4">
      <c r="A1029" s="14">
        <v>43910</v>
      </c>
      <c r="B1029" s="5">
        <v>29117</v>
      </c>
      <c r="C1029" s="5" t="s">
        <v>11</v>
      </c>
      <c r="D1029" s="5">
        <v>727</v>
      </c>
      <c r="E1029" s="5">
        <v>5</v>
      </c>
      <c r="F1029" s="5">
        <v>3</v>
      </c>
      <c r="G1029" s="14">
        <v>33740</v>
      </c>
      <c r="H1029" s="5">
        <v>540688</v>
      </c>
      <c r="I1029" s="5" t="s">
        <v>14</v>
      </c>
    </row>
    <row r="1030" spans="1:9" x14ac:dyDescent="0.4">
      <c r="A1030" s="14">
        <v>43916</v>
      </c>
      <c r="B1030" s="5">
        <v>91489</v>
      </c>
      <c r="C1030" s="5" t="s">
        <v>28</v>
      </c>
      <c r="D1030" s="5">
        <v>790</v>
      </c>
      <c r="E1030" s="5">
        <v>3</v>
      </c>
      <c r="F1030" s="5">
        <v>3</v>
      </c>
      <c r="G1030" s="14">
        <v>32604</v>
      </c>
      <c r="H1030" s="5">
        <v>676377</v>
      </c>
      <c r="I1030" s="5" t="s">
        <v>10</v>
      </c>
    </row>
    <row r="1031" spans="1:9" x14ac:dyDescent="0.4">
      <c r="A1031" s="14">
        <v>44132</v>
      </c>
      <c r="B1031" s="5">
        <v>25479</v>
      </c>
      <c r="C1031" s="5" t="s">
        <v>34</v>
      </c>
      <c r="D1031" s="5">
        <v>750</v>
      </c>
      <c r="E1031" s="5">
        <v>5</v>
      </c>
      <c r="F1031" s="5">
        <v>2</v>
      </c>
      <c r="G1031" s="14">
        <v>34578</v>
      </c>
      <c r="H1031" s="5">
        <v>682869</v>
      </c>
      <c r="I1031" s="5" t="s">
        <v>10</v>
      </c>
    </row>
    <row r="1032" spans="1:9" x14ac:dyDescent="0.4">
      <c r="A1032" s="14">
        <v>43960</v>
      </c>
      <c r="B1032" s="5">
        <v>98022</v>
      </c>
      <c r="C1032" s="5" t="s">
        <v>20</v>
      </c>
      <c r="D1032" s="5">
        <v>794</v>
      </c>
      <c r="E1032" s="5">
        <v>3</v>
      </c>
      <c r="F1032" s="5">
        <v>3</v>
      </c>
      <c r="G1032" s="14">
        <v>33355</v>
      </c>
      <c r="H1032" s="5">
        <v>989564</v>
      </c>
      <c r="I1032" s="5" t="s">
        <v>14</v>
      </c>
    </row>
    <row r="1033" spans="1:9" x14ac:dyDescent="0.4">
      <c r="A1033" s="14">
        <v>44146</v>
      </c>
      <c r="B1033" s="5">
        <v>43666</v>
      </c>
      <c r="C1033" s="5" t="s">
        <v>12</v>
      </c>
      <c r="D1033" s="5">
        <v>798</v>
      </c>
      <c r="E1033" s="5">
        <v>5</v>
      </c>
      <c r="F1033" s="5">
        <v>3</v>
      </c>
      <c r="G1033" s="14">
        <v>29624</v>
      </c>
      <c r="H1033" s="5">
        <v>539585</v>
      </c>
      <c r="I1033" s="5" t="s">
        <v>14</v>
      </c>
    </row>
    <row r="1034" spans="1:9" x14ac:dyDescent="0.4">
      <c r="A1034" s="14">
        <v>44131</v>
      </c>
      <c r="B1034" s="5">
        <v>89531</v>
      </c>
      <c r="C1034" s="5" t="s">
        <v>25</v>
      </c>
      <c r="D1034" s="5">
        <v>736</v>
      </c>
      <c r="E1034" s="5">
        <v>3</v>
      </c>
      <c r="F1034" s="5">
        <v>9</v>
      </c>
      <c r="G1034" s="14">
        <v>33832</v>
      </c>
      <c r="H1034" s="5">
        <v>745259</v>
      </c>
      <c r="I1034" s="5" t="s">
        <v>10</v>
      </c>
    </row>
    <row r="1035" spans="1:9" x14ac:dyDescent="0.4">
      <c r="A1035" s="14">
        <v>43847</v>
      </c>
      <c r="B1035" s="5">
        <v>73361</v>
      </c>
      <c r="C1035" s="5" t="s">
        <v>12</v>
      </c>
      <c r="D1035" s="5">
        <v>750</v>
      </c>
      <c r="E1035" s="5">
        <v>1</v>
      </c>
      <c r="F1035" s="5">
        <v>2</v>
      </c>
      <c r="G1035" s="14">
        <v>34559</v>
      </c>
      <c r="H1035" s="5">
        <v>546600</v>
      </c>
      <c r="I1035" s="5" t="s">
        <v>17</v>
      </c>
    </row>
    <row r="1036" spans="1:9" x14ac:dyDescent="0.4">
      <c r="A1036" s="14">
        <v>44144</v>
      </c>
      <c r="B1036" s="5">
        <v>83936</v>
      </c>
      <c r="C1036" s="5" t="s">
        <v>13</v>
      </c>
      <c r="D1036" s="5">
        <v>789</v>
      </c>
      <c r="E1036" s="5">
        <v>4</v>
      </c>
      <c r="F1036" s="5">
        <v>6</v>
      </c>
      <c r="G1036" s="14">
        <v>30373</v>
      </c>
      <c r="H1036" s="5">
        <v>877440</v>
      </c>
      <c r="I1036" s="5" t="s">
        <v>14</v>
      </c>
    </row>
    <row r="1037" spans="1:9" x14ac:dyDescent="0.4">
      <c r="A1037" s="14">
        <v>43862</v>
      </c>
      <c r="B1037" s="5">
        <v>87663</v>
      </c>
      <c r="C1037" s="5" t="s">
        <v>29</v>
      </c>
      <c r="D1037" s="5">
        <v>784</v>
      </c>
      <c r="E1037" s="5">
        <v>4</v>
      </c>
      <c r="F1037" s="5">
        <v>8</v>
      </c>
      <c r="G1037" s="14">
        <v>32246</v>
      </c>
      <c r="H1037" s="5">
        <v>784708</v>
      </c>
      <c r="I1037" s="5" t="s">
        <v>14</v>
      </c>
    </row>
    <row r="1038" spans="1:9" x14ac:dyDescent="0.4">
      <c r="A1038" s="14">
        <v>44172</v>
      </c>
      <c r="B1038" s="5">
        <v>21478</v>
      </c>
      <c r="C1038" s="5" t="s">
        <v>27</v>
      </c>
      <c r="D1038" s="5">
        <v>744</v>
      </c>
      <c r="E1038" s="5">
        <v>2</v>
      </c>
      <c r="F1038" s="5">
        <v>7</v>
      </c>
      <c r="G1038" s="14">
        <v>29245</v>
      </c>
      <c r="H1038" s="5">
        <v>668408</v>
      </c>
      <c r="I1038" s="5" t="s">
        <v>10</v>
      </c>
    </row>
    <row r="1039" spans="1:9" x14ac:dyDescent="0.4">
      <c r="A1039" s="14">
        <v>43995</v>
      </c>
      <c r="B1039" s="5">
        <v>32550</v>
      </c>
      <c r="C1039" s="5" t="s">
        <v>23</v>
      </c>
      <c r="D1039" s="5">
        <v>789</v>
      </c>
      <c r="E1039" s="5">
        <v>3</v>
      </c>
      <c r="F1039" s="5">
        <v>3</v>
      </c>
      <c r="G1039" s="14">
        <v>32708</v>
      </c>
      <c r="H1039" s="5">
        <v>532370</v>
      </c>
      <c r="I1039" s="5" t="s">
        <v>14</v>
      </c>
    </row>
    <row r="1040" spans="1:9" x14ac:dyDescent="0.4">
      <c r="A1040" s="14">
        <v>44124</v>
      </c>
      <c r="B1040" s="5">
        <v>62304</v>
      </c>
      <c r="C1040" s="5" t="s">
        <v>33</v>
      </c>
      <c r="D1040" s="5">
        <v>709</v>
      </c>
      <c r="E1040" s="5">
        <v>4</v>
      </c>
      <c r="F1040" s="5">
        <v>9</v>
      </c>
      <c r="G1040" s="14">
        <v>34567</v>
      </c>
      <c r="H1040" s="5">
        <v>982857</v>
      </c>
      <c r="I1040" s="5" t="s">
        <v>17</v>
      </c>
    </row>
    <row r="1041" spans="1:9" x14ac:dyDescent="0.4">
      <c r="A1041" s="14">
        <v>44078</v>
      </c>
      <c r="B1041" s="5">
        <v>51482</v>
      </c>
      <c r="C1041" s="5" t="s">
        <v>34</v>
      </c>
      <c r="D1041" s="5">
        <v>737</v>
      </c>
      <c r="E1041" s="5">
        <v>2</v>
      </c>
      <c r="F1041" s="5">
        <v>5</v>
      </c>
      <c r="G1041" s="14">
        <v>32001</v>
      </c>
      <c r="H1041" s="5">
        <v>850423</v>
      </c>
      <c r="I1041" s="5" t="s">
        <v>14</v>
      </c>
    </row>
    <row r="1042" spans="1:9" x14ac:dyDescent="0.4">
      <c r="A1042" s="14">
        <v>44165</v>
      </c>
      <c r="B1042" s="5">
        <v>10264</v>
      </c>
      <c r="C1042" s="5" t="s">
        <v>16</v>
      </c>
      <c r="D1042" s="5">
        <v>739</v>
      </c>
      <c r="E1042" s="5">
        <v>5</v>
      </c>
      <c r="F1042" s="5">
        <v>10</v>
      </c>
      <c r="G1042" s="14">
        <v>33866</v>
      </c>
      <c r="H1042" s="5">
        <v>993245</v>
      </c>
      <c r="I1042" s="5" t="s">
        <v>14</v>
      </c>
    </row>
    <row r="1043" spans="1:9" x14ac:dyDescent="0.4">
      <c r="A1043" s="14">
        <v>43919</v>
      </c>
      <c r="B1043" s="5">
        <v>89174</v>
      </c>
      <c r="C1043" s="5" t="s">
        <v>33</v>
      </c>
      <c r="D1043" s="5">
        <v>730</v>
      </c>
      <c r="E1043" s="5">
        <v>5</v>
      </c>
      <c r="F1043" s="5">
        <v>1</v>
      </c>
      <c r="G1043" s="14">
        <v>29536</v>
      </c>
      <c r="H1043" s="5">
        <v>502469</v>
      </c>
      <c r="I1043" s="5" t="s">
        <v>14</v>
      </c>
    </row>
    <row r="1044" spans="1:9" x14ac:dyDescent="0.4">
      <c r="A1044" s="14">
        <v>43881</v>
      </c>
      <c r="B1044" s="5">
        <v>43193</v>
      </c>
      <c r="C1044" s="5" t="s">
        <v>19</v>
      </c>
      <c r="D1044" s="5">
        <v>748</v>
      </c>
      <c r="E1044" s="5">
        <v>3</v>
      </c>
      <c r="F1044" s="5">
        <v>7</v>
      </c>
      <c r="G1044" s="14">
        <v>30691</v>
      </c>
      <c r="H1044" s="5">
        <v>953477</v>
      </c>
      <c r="I1044" s="5" t="s">
        <v>17</v>
      </c>
    </row>
    <row r="1045" spans="1:9" x14ac:dyDescent="0.4">
      <c r="A1045" s="14">
        <v>43975</v>
      </c>
      <c r="B1045" s="5">
        <v>89946</v>
      </c>
      <c r="C1045" s="5" t="s">
        <v>25</v>
      </c>
      <c r="D1045" s="5">
        <v>799</v>
      </c>
      <c r="E1045" s="5">
        <v>5</v>
      </c>
      <c r="F1045" s="5">
        <v>7</v>
      </c>
      <c r="G1045" s="14">
        <v>34406</v>
      </c>
      <c r="H1045" s="5">
        <v>957311</v>
      </c>
      <c r="I1045" s="5" t="s">
        <v>17</v>
      </c>
    </row>
    <row r="1046" spans="1:9" x14ac:dyDescent="0.4">
      <c r="A1046" s="14">
        <v>43832</v>
      </c>
      <c r="B1046" s="5">
        <v>74711</v>
      </c>
      <c r="C1046" s="5" t="s">
        <v>30</v>
      </c>
      <c r="D1046" s="5">
        <v>707</v>
      </c>
      <c r="E1046" s="5">
        <v>5</v>
      </c>
      <c r="F1046" s="5">
        <v>7</v>
      </c>
      <c r="G1046" s="14">
        <v>31387</v>
      </c>
      <c r="H1046" s="5">
        <v>896044</v>
      </c>
      <c r="I1046" s="5" t="s">
        <v>10</v>
      </c>
    </row>
    <row r="1047" spans="1:9" x14ac:dyDescent="0.4">
      <c r="A1047" s="14">
        <v>43982</v>
      </c>
      <c r="B1047" s="5">
        <v>77498</v>
      </c>
      <c r="C1047" s="5" t="s">
        <v>15</v>
      </c>
      <c r="D1047" s="5">
        <v>767</v>
      </c>
      <c r="E1047" s="5">
        <v>1</v>
      </c>
      <c r="F1047" s="5">
        <v>4</v>
      </c>
      <c r="G1047" s="14">
        <v>30371</v>
      </c>
      <c r="H1047" s="5">
        <v>551373</v>
      </c>
      <c r="I1047" s="5" t="s">
        <v>17</v>
      </c>
    </row>
    <row r="1048" spans="1:9" x14ac:dyDescent="0.4">
      <c r="A1048" s="14">
        <v>43901</v>
      </c>
      <c r="B1048" s="5">
        <v>50068</v>
      </c>
      <c r="C1048" s="5" t="s">
        <v>30</v>
      </c>
      <c r="D1048" s="5">
        <v>710</v>
      </c>
      <c r="E1048" s="5">
        <v>1</v>
      </c>
      <c r="F1048" s="5">
        <v>2</v>
      </c>
      <c r="G1048" s="14">
        <v>30947</v>
      </c>
      <c r="H1048" s="5">
        <v>678013</v>
      </c>
      <c r="I1048" s="5" t="s">
        <v>10</v>
      </c>
    </row>
    <row r="1049" spans="1:9" x14ac:dyDescent="0.4">
      <c r="A1049" s="14">
        <v>43916</v>
      </c>
      <c r="B1049" s="5">
        <v>25864</v>
      </c>
      <c r="C1049" s="5" t="s">
        <v>30</v>
      </c>
      <c r="D1049" s="5">
        <v>748</v>
      </c>
      <c r="E1049" s="5">
        <v>1</v>
      </c>
      <c r="F1049" s="5">
        <v>9</v>
      </c>
      <c r="G1049" s="14">
        <v>30913</v>
      </c>
      <c r="H1049" s="5">
        <v>576506</v>
      </c>
      <c r="I1049" s="5" t="s">
        <v>17</v>
      </c>
    </row>
    <row r="1050" spans="1:9" x14ac:dyDescent="0.4">
      <c r="A1050" s="14">
        <v>44067</v>
      </c>
      <c r="B1050" s="5">
        <v>15523</v>
      </c>
      <c r="C1050" s="5" t="s">
        <v>33</v>
      </c>
      <c r="D1050" s="5">
        <v>703</v>
      </c>
      <c r="E1050" s="5">
        <v>5</v>
      </c>
      <c r="F1050" s="5">
        <v>5</v>
      </c>
      <c r="G1050" s="14">
        <v>32649</v>
      </c>
      <c r="H1050" s="5">
        <v>578683</v>
      </c>
      <c r="I1050" s="5" t="s">
        <v>17</v>
      </c>
    </row>
    <row r="1051" spans="1:9" x14ac:dyDescent="0.4">
      <c r="A1051" s="14">
        <v>44042</v>
      </c>
      <c r="B1051" s="5">
        <v>12810</v>
      </c>
      <c r="C1051" s="5" t="s">
        <v>12</v>
      </c>
      <c r="D1051" s="5">
        <v>783</v>
      </c>
      <c r="E1051" s="5">
        <v>2</v>
      </c>
      <c r="F1051" s="5">
        <v>8</v>
      </c>
      <c r="G1051" s="14">
        <v>33322</v>
      </c>
      <c r="H1051" s="5">
        <v>773923</v>
      </c>
      <c r="I1051" s="5" t="s">
        <v>14</v>
      </c>
    </row>
    <row r="1052" spans="1:9" x14ac:dyDescent="0.4">
      <c r="A1052" s="14">
        <v>43877</v>
      </c>
      <c r="B1052" s="5">
        <v>28938</v>
      </c>
      <c r="C1052" s="5" t="s">
        <v>28</v>
      </c>
      <c r="D1052" s="5">
        <v>714</v>
      </c>
      <c r="E1052" s="5">
        <v>3</v>
      </c>
      <c r="F1052" s="5">
        <v>7</v>
      </c>
      <c r="G1052" s="14">
        <v>33766</v>
      </c>
      <c r="H1052" s="5">
        <v>567036</v>
      </c>
      <c r="I1052" s="5" t="s">
        <v>17</v>
      </c>
    </row>
    <row r="1053" spans="1:9" x14ac:dyDescent="0.4">
      <c r="A1053" s="14">
        <v>43898</v>
      </c>
      <c r="B1053" s="5">
        <v>38868</v>
      </c>
      <c r="C1053" s="5" t="s">
        <v>34</v>
      </c>
      <c r="D1053" s="5">
        <v>786</v>
      </c>
      <c r="E1053" s="5">
        <v>5</v>
      </c>
      <c r="F1053" s="5">
        <v>9</v>
      </c>
      <c r="G1053" s="14">
        <v>33532</v>
      </c>
      <c r="H1053" s="5">
        <v>774453</v>
      </c>
      <c r="I1053" s="5" t="s">
        <v>10</v>
      </c>
    </row>
    <row r="1054" spans="1:9" x14ac:dyDescent="0.4">
      <c r="A1054" s="14">
        <v>43967</v>
      </c>
      <c r="B1054" s="5">
        <v>98711</v>
      </c>
      <c r="C1054" s="5" t="s">
        <v>30</v>
      </c>
      <c r="D1054" s="5">
        <v>744</v>
      </c>
      <c r="E1054" s="5">
        <v>2</v>
      </c>
      <c r="F1054" s="5">
        <v>9</v>
      </c>
      <c r="G1054" s="14">
        <v>33866</v>
      </c>
      <c r="H1054" s="5">
        <v>622283</v>
      </c>
      <c r="I1054" s="5" t="s">
        <v>10</v>
      </c>
    </row>
    <row r="1055" spans="1:9" x14ac:dyDescent="0.4">
      <c r="A1055" s="14">
        <v>43991</v>
      </c>
      <c r="B1055" s="5">
        <v>79287</v>
      </c>
      <c r="C1055" s="5" t="s">
        <v>12</v>
      </c>
      <c r="D1055" s="5">
        <v>760</v>
      </c>
      <c r="E1055" s="5">
        <v>1</v>
      </c>
      <c r="F1055" s="5">
        <v>3</v>
      </c>
      <c r="G1055" s="14">
        <v>29659</v>
      </c>
      <c r="H1055" s="5">
        <v>611744</v>
      </c>
      <c r="I1055" s="5" t="s">
        <v>10</v>
      </c>
    </row>
    <row r="1056" spans="1:9" x14ac:dyDescent="0.4">
      <c r="A1056" s="14">
        <v>44016</v>
      </c>
      <c r="B1056" s="5">
        <v>19045</v>
      </c>
      <c r="C1056" s="5" t="s">
        <v>11</v>
      </c>
      <c r="D1056" s="5">
        <v>796</v>
      </c>
      <c r="E1056" s="5">
        <v>2</v>
      </c>
      <c r="F1056" s="5">
        <v>10</v>
      </c>
      <c r="G1056" s="14">
        <v>30783</v>
      </c>
      <c r="H1056" s="5">
        <v>628943</v>
      </c>
      <c r="I1056" s="5" t="s">
        <v>14</v>
      </c>
    </row>
    <row r="1057" spans="1:9" x14ac:dyDescent="0.4">
      <c r="A1057" s="14">
        <v>43958</v>
      </c>
      <c r="B1057" s="5">
        <v>85012</v>
      </c>
      <c r="C1057" s="5" t="s">
        <v>25</v>
      </c>
      <c r="D1057" s="5">
        <v>732</v>
      </c>
      <c r="E1057" s="5">
        <v>4</v>
      </c>
      <c r="F1057" s="5">
        <v>7</v>
      </c>
      <c r="G1057" s="14">
        <v>32937</v>
      </c>
      <c r="H1057" s="5">
        <v>708934</v>
      </c>
      <c r="I1057" s="5" t="s">
        <v>17</v>
      </c>
    </row>
    <row r="1058" spans="1:9" x14ac:dyDescent="0.4">
      <c r="A1058" s="14">
        <v>43969</v>
      </c>
      <c r="B1058" s="5">
        <v>26130</v>
      </c>
      <c r="C1058" s="5" t="s">
        <v>12</v>
      </c>
      <c r="D1058" s="5">
        <v>750</v>
      </c>
      <c r="E1058" s="5">
        <v>3</v>
      </c>
      <c r="F1058" s="5">
        <v>3</v>
      </c>
      <c r="G1058" s="14">
        <v>31624</v>
      </c>
      <c r="H1058" s="5">
        <v>702540</v>
      </c>
      <c r="I1058" s="5" t="s">
        <v>17</v>
      </c>
    </row>
    <row r="1059" spans="1:9" x14ac:dyDescent="0.4">
      <c r="A1059" s="14">
        <v>43863</v>
      </c>
      <c r="B1059" s="5">
        <v>75676</v>
      </c>
      <c r="C1059" s="5" t="s">
        <v>30</v>
      </c>
      <c r="D1059" s="5">
        <v>782</v>
      </c>
      <c r="E1059" s="5">
        <v>5</v>
      </c>
      <c r="F1059" s="5">
        <v>9</v>
      </c>
      <c r="G1059" s="14">
        <v>33797</v>
      </c>
      <c r="H1059" s="5">
        <v>972215</v>
      </c>
      <c r="I1059" s="5" t="s">
        <v>14</v>
      </c>
    </row>
    <row r="1060" spans="1:9" x14ac:dyDescent="0.4">
      <c r="A1060" s="14">
        <v>43924</v>
      </c>
      <c r="B1060" s="5">
        <v>33039</v>
      </c>
      <c r="C1060" s="5" t="s">
        <v>13</v>
      </c>
      <c r="D1060" s="5">
        <v>727</v>
      </c>
      <c r="E1060" s="5">
        <v>3</v>
      </c>
      <c r="F1060" s="5">
        <v>1</v>
      </c>
      <c r="G1060" s="14">
        <v>33560</v>
      </c>
      <c r="H1060" s="5">
        <v>768217</v>
      </c>
      <c r="I1060" s="5" t="s">
        <v>17</v>
      </c>
    </row>
    <row r="1061" spans="1:9" x14ac:dyDescent="0.4">
      <c r="A1061" s="14">
        <v>43991</v>
      </c>
      <c r="B1061" s="5">
        <v>25933</v>
      </c>
      <c r="C1061" s="5" t="s">
        <v>19</v>
      </c>
      <c r="D1061" s="5">
        <v>795</v>
      </c>
      <c r="E1061" s="5">
        <v>1</v>
      </c>
      <c r="F1061" s="5">
        <v>6</v>
      </c>
      <c r="G1061" s="14">
        <v>32592</v>
      </c>
      <c r="H1061" s="5">
        <v>551272</v>
      </c>
      <c r="I1061" s="5" t="s">
        <v>17</v>
      </c>
    </row>
    <row r="1062" spans="1:9" x14ac:dyDescent="0.4">
      <c r="A1062" s="14">
        <v>43979</v>
      </c>
      <c r="B1062" s="5">
        <v>87206</v>
      </c>
      <c r="C1062" s="5" t="s">
        <v>12</v>
      </c>
      <c r="D1062" s="5">
        <v>797</v>
      </c>
      <c r="E1062" s="5">
        <v>2</v>
      </c>
      <c r="F1062" s="5">
        <v>4</v>
      </c>
      <c r="G1062" s="14">
        <v>32699</v>
      </c>
      <c r="H1062" s="5">
        <v>778299</v>
      </c>
      <c r="I1062" s="5" t="s">
        <v>14</v>
      </c>
    </row>
    <row r="1063" spans="1:9" x14ac:dyDescent="0.4">
      <c r="A1063" s="14">
        <v>44012</v>
      </c>
      <c r="B1063" s="5">
        <v>90629</v>
      </c>
      <c r="C1063" s="5" t="s">
        <v>11</v>
      </c>
      <c r="D1063" s="5">
        <v>762</v>
      </c>
      <c r="E1063" s="5">
        <v>4</v>
      </c>
      <c r="F1063" s="5">
        <v>8</v>
      </c>
      <c r="G1063" s="14">
        <v>34077</v>
      </c>
      <c r="H1063" s="5">
        <v>885277</v>
      </c>
      <c r="I1063" s="5" t="s">
        <v>10</v>
      </c>
    </row>
    <row r="1064" spans="1:9" x14ac:dyDescent="0.4">
      <c r="A1064" s="14">
        <v>43877</v>
      </c>
      <c r="B1064" s="5">
        <v>21163</v>
      </c>
      <c r="C1064" s="5" t="s">
        <v>26</v>
      </c>
      <c r="D1064" s="5">
        <v>731</v>
      </c>
      <c r="E1064" s="5">
        <v>5</v>
      </c>
      <c r="F1064" s="5">
        <v>10</v>
      </c>
      <c r="G1064" s="14">
        <v>30796</v>
      </c>
      <c r="H1064" s="5">
        <v>678764</v>
      </c>
      <c r="I1064" s="5" t="s">
        <v>17</v>
      </c>
    </row>
    <row r="1065" spans="1:9" x14ac:dyDescent="0.4">
      <c r="A1065" s="14">
        <v>43889</v>
      </c>
      <c r="B1065" s="5">
        <v>66933</v>
      </c>
      <c r="C1065" s="5" t="s">
        <v>34</v>
      </c>
      <c r="D1065" s="5">
        <v>721</v>
      </c>
      <c r="E1065" s="5">
        <v>4</v>
      </c>
      <c r="F1065" s="5">
        <v>1</v>
      </c>
      <c r="G1065" s="14">
        <v>31975</v>
      </c>
      <c r="H1065" s="5">
        <v>554995</v>
      </c>
      <c r="I1065" s="5" t="s">
        <v>14</v>
      </c>
    </row>
    <row r="1066" spans="1:9" x14ac:dyDescent="0.4">
      <c r="A1066" s="14">
        <v>44093</v>
      </c>
      <c r="B1066" s="5">
        <v>52669</v>
      </c>
      <c r="C1066" s="5" t="s">
        <v>24</v>
      </c>
      <c r="D1066" s="5">
        <v>777</v>
      </c>
      <c r="E1066" s="5">
        <v>3</v>
      </c>
      <c r="F1066" s="5">
        <v>1</v>
      </c>
      <c r="G1066" s="14">
        <v>32612</v>
      </c>
      <c r="H1066" s="5">
        <v>878597</v>
      </c>
      <c r="I1066" s="5" t="s">
        <v>14</v>
      </c>
    </row>
    <row r="1067" spans="1:9" x14ac:dyDescent="0.4">
      <c r="A1067" s="14">
        <v>43993</v>
      </c>
      <c r="B1067" s="5">
        <v>34096</v>
      </c>
      <c r="C1067" s="5" t="s">
        <v>25</v>
      </c>
      <c r="D1067" s="5">
        <v>762</v>
      </c>
      <c r="E1067" s="5">
        <v>1</v>
      </c>
      <c r="F1067" s="5">
        <v>7</v>
      </c>
      <c r="G1067" s="14">
        <v>31330</v>
      </c>
      <c r="H1067" s="5">
        <v>787237</v>
      </c>
      <c r="I1067" s="5" t="s">
        <v>10</v>
      </c>
    </row>
    <row r="1068" spans="1:9" x14ac:dyDescent="0.4">
      <c r="A1068" s="14">
        <v>43959</v>
      </c>
      <c r="B1068" s="5">
        <v>52047</v>
      </c>
      <c r="C1068" s="5" t="s">
        <v>26</v>
      </c>
      <c r="D1068" s="5">
        <v>717</v>
      </c>
      <c r="E1068" s="5">
        <v>2</v>
      </c>
      <c r="F1068" s="5">
        <v>5</v>
      </c>
      <c r="G1068" s="14">
        <v>33057</v>
      </c>
      <c r="H1068" s="5">
        <v>731639</v>
      </c>
      <c r="I1068" s="5" t="s">
        <v>17</v>
      </c>
    </row>
    <row r="1069" spans="1:9" x14ac:dyDescent="0.4">
      <c r="A1069" s="14">
        <v>44103</v>
      </c>
      <c r="B1069" s="5">
        <v>84754</v>
      </c>
      <c r="C1069" s="5" t="s">
        <v>27</v>
      </c>
      <c r="D1069" s="5">
        <v>737</v>
      </c>
      <c r="E1069" s="5">
        <v>1</v>
      </c>
      <c r="F1069" s="5">
        <v>3</v>
      </c>
      <c r="G1069" s="14">
        <v>33986</v>
      </c>
      <c r="H1069" s="5">
        <v>915415</v>
      </c>
      <c r="I1069" s="5" t="s">
        <v>14</v>
      </c>
    </row>
    <row r="1070" spans="1:9" x14ac:dyDescent="0.4">
      <c r="A1070" s="14">
        <v>43947</v>
      </c>
      <c r="B1070" s="5">
        <v>18361</v>
      </c>
      <c r="C1070" s="5" t="s">
        <v>23</v>
      </c>
      <c r="D1070" s="5">
        <v>769</v>
      </c>
      <c r="E1070" s="5">
        <v>2</v>
      </c>
      <c r="F1070" s="5">
        <v>5</v>
      </c>
      <c r="G1070" s="14">
        <v>30588</v>
      </c>
      <c r="H1070" s="5">
        <v>786099</v>
      </c>
      <c r="I1070" s="5" t="s">
        <v>17</v>
      </c>
    </row>
    <row r="1071" spans="1:9" x14ac:dyDescent="0.4">
      <c r="A1071" s="14">
        <v>43970</v>
      </c>
      <c r="B1071" s="5">
        <v>30488</v>
      </c>
      <c r="C1071" s="5" t="s">
        <v>16</v>
      </c>
      <c r="D1071" s="5">
        <v>752</v>
      </c>
      <c r="E1071" s="5">
        <v>2</v>
      </c>
      <c r="F1071" s="5">
        <v>4</v>
      </c>
      <c r="G1071" s="14">
        <v>34178</v>
      </c>
      <c r="H1071" s="5">
        <v>839620</v>
      </c>
      <c r="I1071" s="5" t="s">
        <v>10</v>
      </c>
    </row>
    <row r="1072" spans="1:9" x14ac:dyDescent="0.4">
      <c r="A1072" s="14">
        <v>43888</v>
      </c>
      <c r="B1072" s="5">
        <v>77076</v>
      </c>
      <c r="C1072" s="5" t="s">
        <v>35</v>
      </c>
      <c r="D1072" s="5">
        <v>727</v>
      </c>
      <c r="E1072" s="5">
        <v>4</v>
      </c>
      <c r="F1072" s="5">
        <v>2</v>
      </c>
      <c r="G1072" s="14">
        <v>30025</v>
      </c>
      <c r="H1072" s="5">
        <v>842570</v>
      </c>
      <c r="I1072" s="5" t="s">
        <v>10</v>
      </c>
    </row>
    <row r="1073" spans="1:9" x14ac:dyDescent="0.4">
      <c r="A1073" s="14">
        <v>44021</v>
      </c>
      <c r="B1073" s="5">
        <v>51851</v>
      </c>
      <c r="C1073" s="5" t="s">
        <v>22</v>
      </c>
      <c r="D1073" s="5">
        <v>765</v>
      </c>
      <c r="E1073" s="5">
        <v>4</v>
      </c>
      <c r="F1073" s="5">
        <v>1</v>
      </c>
      <c r="G1073" s="14">
        <v>31868</v>
      </c>
      <c r="H1073" s="5">
        <v>528387</v>
      </c>
      <c r="I1073" s="5" t="s">
        <v>10</v>
      </c>
    </row>
    <row r="1074" spans="1:9" x14ac:dyDescent="0.4">
      <c r="A1074" s="14">
        <v>44004</v>
      </c>
      <c r="B1074" s="5">
        <v>78225</v>
      </c>
      <c r="C1074" s="5" t="s">
        <v>9</v>
      </c>
      <c r="D1074" s="5">
        <v>701</v>
      </c>
      <c r="E1074" s="5">
        <v>2</v>
      </c>
      <c r="F1074" s="5">
        <v>3</v>
      </c>
      <c r="G1074" s="14">
        <v>33462</v>
      </c>
      <c r="H1074" s="5">
        <v>932665</v>
      </c>
      <c r="I1074" s="5" t="s">
        <v>17</v>
      </c>
    </row>
    <row r="1075" spans="1:9" x14ac:dyDescent="0.4">
      <c r="A1075" s="14">
        <v>44135</v>
      </c>
      <c r="B1075" s="5">
        <v>19307</v>
      </c>
      <c r="C1075" s="5" t="s">
        <v>15</v>
      </c>
      <c r="D1075" s="5">
        <v>765</v>
      </c>
      <c r="E1075" s="5">
        <v>5</v>
      </c>
      <c r="F1075" s="5">
        <v>7</v>
      </c>
      <c r="G1075" s="14">
        <v>30439</v>
      </c>
      <c r="H1075" s="5">
        <v>791645</v>
      </c>
      <c r="I1075" s="5" t="s">
        <v>10</v>
      </c>
    </row>
    <row r="1076" spans="1:9" x14ac:dyDescent="0.4">
      <c r="A1076" s="14">
        <v>43887</v>
      </c>
      <c r="B1076" s="5">
        <v>42060</v>
      </c>
      <c r="C1076" s="5" t="s">
        <v>22</v>
      </c>
      <c r="D1076" s="5">
        <v>731</v>
      </c>
      <c r="E1076" s="5">
        <v>4</v>
      </c>
      <c r="F1076" s="5">
        <v>4</v>
      </c>
      <c r="G1076" s="14">
        <v>33238</v>
      </c>
      <c r="H1076" s="5">
        <v>973062</v>
      </c>
      <c r="I1076" s="5" t="s">
        <v>17</v>
      </c>
    </row>
    <row r="1077" spans="1:9" x14ac:dyDescent="0.4">
      <c r="A1077" s="14">
        <v>44104</v>
      </c>
      <c r="B1077" s="5">
        <v>85001</v>
      </c>
      <c r="C1077" s="5" t="s">
        <v>15</v>
      </c>
      <c r="D1077" s="5">
        <v>787</v>
      </c>
      <c r="E1077" s="5">
        <v>3</v>
      </c>
      <c r="F1077" s="5">
        <v>2</v>
      </c>
      <c r="G1077" s="14">
        <v>30286</v>
      </c>
      <c r="H1077" s="5">
        <v>931330</v>
      </c>
      <c r="I1077" s="5" t="s">
        <v>10</v>
      </c>
    </row>
    <row r="1078" spans="1:9" x14ac:dyDescent="0.4">
      <c r="A1078" s="14">
        <v>43844</v>
      </c>
      <c r="B1078" s="5">
        <v>13133</v>
      </c>
      <c r="C1078" s="5" t="s">
        <v>31</v>
      </c>
      <c r="D1078" s="5">
        <v>795</v>
      </c>
      <c r="E1078" s="5">
        <v>5</v>
      </c>
      <c r="F1078" s="5">
        <v>6</v>
      </c>
      <c r="G1078" s="14">
        <v>31633</v>
      </c>
      <c r="H1078" s="5">
        <v>873159</v>
      </c>
      <c r="I1078" s="5" t="s">
        <v>10</v>
      </c>
    </row>
    <row r="1079" spans="1:9" x14ac:dyDescent="0.4">
      <c r="A1079" s="14">
        <v>44173</v>
      </c>
      <c r="B1079" s="5">
        <v>47674</v>
      </c>
      <c r="C1079" s="5" t="s">
        <v>16</v>
      </c>
      <c r="D1079" s="5">
        <v>789</v>
      </c>
      <c r="E1079" s="5">
        <v>3</v>
      </c>
      <c r="F1079" s="5">
        <v>3</v>
      </c>
      <c r="G1079" s="14">
        <v>31697</v>
      </c>
      <c r="H1079" s="5">
        <v>541750</v>
      </c>
      <c r="I1079" s="5" t="s">
        <v>14</v>
      </c>
    </row>
    <row r="1080" spans="1:9" x14ac:dyDescent="0.4">
      <c r="A1080" s="14">
        <v>43985</v>
      </c>
      <c r="B1080" s="5">
        <v>90047</v>
      </c>
      <c r="C1080" s="5" t="s">
        <v>24</v>
      </c>
      <c r="D1080" s="5">
        <v>723</v>
      </c>
      <c r="E1080" s="5">
        <v>1</v>
      </c>
      <c r="F1080" s="5">
        <v>6</v>
      </c>
      <c r="G1080" s="14">
        <v>32086</v>
      </c>
      <c r="H1080" s="5">
        <v>720035</v>
      </c>
      <c r="I1080" s="5" t="s">
        <v>10</v>
      </c>
    </row>
    <row r="1081" spans="1:9" x14ac:dyDescent="0.4">
      <c r="A1081" s="14">
        <v>43892</v>
      </c>
      <c r="B1081" s="5">
        <v>78042</v>
      </c>
      <c r="C1081" s="5" t="s">
        <v>31</v>
      </c>
      <c r="D1081" s="5">
        <v>766</v>
      </c>
      <c r="E1081" s="5">
        <v>5</v>
      </c>
      <c r="F1081" s="5">
        <v>9</v>
      </c>
      <c r="G1081" s="14">
        <v>29928</v>
      </c>
      <c r="H1081" s="5">
        <v>816203</v>
      </c>
      <c r="I1081" s="5" t="s">
        <v>14</v>
      </c>
    </row>
    <row r="1082" spans="1:9" x14ac:dyDescent="0.4">
      <c r="A1082" s="14">
        <v>44170</v>
      </c>
      <c r="B1082" s="5">
        <v>61426</v>
      </c>
      <c r="C1082" s="5" t="s">
        <v>15</v>
      </c>
      <c r="D1082" s="5">
        <v>718</v>
      </c>
      <c r="E1082" s="5">
        <v>2</v>
      </c>
      <c r="F1082" s="5">
        <v>4</v>
      </c>
      <c r="G1082" s="14">
        <v>30957</v>
      </c>
      <c r="H1082" s="5">
        <v>863899</v>
      </c>
      <c r="I1082" s="5" t="s">
        <v>14</v>
      </c>
    </row>
    <row r="1083" spans="1:9" x14ac:dyDescent="0.4">
      <c r="A1083" s="14">
        <v>44103</v>
      </c>
      <c r="B1083" s="5">
        <v>12276</v>
      </c>
      <c r="C1083" s="5" t="s">
        <v>34</v>
      </c>
      <c r="D1083" s="5">
        <v>745</v>
      </c>
      <c r="E1083" s="5">
        <v>3</v>
      </c>
      <c r="F1083" s="5">
        <v>3</v>
      </c>
      <c r="G1083" s="14">
        <v>29505</v>
      </c>
      <c r="H1083" s="5">
        <v>952092</v>
      </c>
      <c r="I1083" s="5" t="s">
        <v>10</v>
      </c>
    </row>
    <row r="1084" spans="1:9" x14ac:dyDescent="0.4">
      <c r="A1084" s="14">
        <v>44061</v>
      </c>
      <c r="B1084" s="5">
        <v>57318</v>
      </c>
      <c r="C1084" s="5" t="s">
        <v>18</v>
      </c>
      <c r="D1084" s="5">
        <v>739</v>
      </c>
      <c r="E1084" s="5">
        <v>4</v>
      </c>
      <c r="F1084" s="5">
        <v>4</v>
      </c>
      <c r="G1084" s="14">
        <v>31662</v>
      </c>
      <c r="H1084" s="5">
        <v>844742</v>
      </c>
      <c r="I1084" s="5" t="s">
        <v>10</v>
      </c>
    </row>
    <row r="1085" spans="1:9" x14ac:dyDescent="0.4">
      <c r="A1085" s="14">
        <v>43837</v>
      </c>
      <c r="B1085" s="5">
        <v>50692</v>
      </c>
      <c r="C1085" s="5" t="s">
        <v>16</v>
      </c>
      <c r="D1085" s="5">
        <v>766</v>
      </c>
      <c r="E1085" s="5">
        <v>3</v>
      </c>
      <c r="F1085" s="5">
        <v>7</v>
      </c>
      <c r="G1085" s="14">
        <v>33119</v>
      </c>
      <c r="H1085" s="5">
        <v>673770</v>
      </c>
      <c r="I1085" s="5" t="s">
        <v>14</v>
      </c>
    </row>
    <row r="1086" spans="1:9" x14ac:dyDescent="0.4">
      <c r="A1086" s="14">
        <v>43937</v>
      </c>
      <c r="B1086" s="5">
        <v>87524</v>
      </c>
      <c r="C1086" s="5" t="s">
        <v>27</v>
      </c>
      <c r="D1086" s="5">
        <v>729</v>
      </c>
      <c r="E1086" s="5">
        <v>1</v>
      </c>
      <c r="F1086" s="5">
        <v>8</v>
      </c>
      <c r="G1086" s="14">
        <v>29739</v>
      </c>
      <c r="H1086" s="5">
        <v>956323</v>
      </c>
      <c r="I1086" s="5" t="s">
        <v>14</v>
      </c>
    </row>
    <row r="1087" spans="1:9" x14ac:dyDescent="0.4">
      <c r="A1087" s="14">
        <v>43896</v>
      </c>
      <c r="B1087" s="5">
        <v>54876</v>
      </c>
      <c r="C1087" s="5" t="s">
        <v>34</v>
      </c>
      <c r="D1087" s="5">
        <v>798</v>
      </c>
      <c r="E1087" s="5">
        <v>1</v>
      </c>
      <c r="F1087" s="5">
        <v>2</v>
      </c>
      <c r="G1087" s="14">
        <v>29293</v>
      </c>
      <c r="H1087" s="5">
        <v>912727</v>
      </c>
      <c r="I1087" s="5" t="s">
        <v>17</v>
      </c>
    </row>
    <row r="1088" spans="1:9" x14ac:dyDescent="0.4">
      <c r="A1088" s="14">
        <v>43927</v>
      </c>
      <c r="B1088" s="5">
        <v>95528</v>
      </c>
      <c r="C1088" s="5" t="s">
        <v>12</v>
      </c>
      <c r="D1088" s="5">
        <v>767</v>
      </c>
      <c r="E1088" s="5">
        <v>2</v>
      </c>
      <c r="F1088" s="5">
        <v>10</v>
      </c>
      <c r="G1088" s="14">
        <v>34486</v>
      </c>
      <c r="H1088" s="5">
        <v>915427</v>
      </c>
      <c r="I1088" s="5" t="s">
        <v>14</v>
      </c>
    </row>
    <row r="1089" spans="1:9" x14ac:dyDescent="0.4">
      <c r="A1089" s="14">
        <v>44042</v>
      </c>
      <c r="B1089" s="5">
        <v>81067</v>
      </c>
      <c r="C1089" s="5" t="s">
        <v>26</v>
      </c>
      <c r="D1089" s="5">
        <v>731</v>
      </c>
      <c r="E1089" s="5">
        <v>5</v>
      </c>
      <c r="F1089" s="5">
        <v>8</v>
      </c>
      <c r="G1089" s="14">
        <v>31343</v>
      </c>
      <c r="H1089" s="5">
        <v>806031</v>
      </c>
      <c r="I1089" s="5" t="s">
        <v>17</v>
      </c>
    </row>
    <row r="1090" spans="1:9" x14ac:dyDescent="0.4">
      <c r="A1090" s="14">
        <v>44043</v>
      </c>
      <c r="B1090" s="5">
        <v>51072</v>
      </c>
      <c r="C1090" s="5" t="s">
        <v>20</v>
      </c>
      <c r="D1090" s="5">
        <v>703</v>
      </c>
      <c r="E1090" s="5">
        <v>4</v>
      </c>
      <c r="F1090" s="5">
        <v>6</v>
      </c>
      <c r="G1090" s="14">
        <v>34101</v>
      </c>
      <c r="H1090" s="5">
        <v>792854</v>
      </c>
      <c r="I1090" s="5" t="s">
        <v>10</v>
      </c>
    </row>
    <row r="1091" spans="1:9" x14ac:dyDescent="0.4">
      <c r="A1091" s="14">
        <v>44112</v>
      </c>
      <c r="B1091" s="5">
        <v>95387</v>
      </c>
      <c r="C1091" s="5" t="s">
        <v>29</v>
      </c>
      <c r="D1091" s="5">
        <v>767</v>
      </c>
      <c r="E1091" s="5">
        <v>5</v>
      </c>
      <c r="F1091" s="5">
        <v>10</v>
      </c>
      <c r="G1091" s="14">
        <v>33485</v>
      </c>
      <c r="H1091" s="5">
        <v>556417</v>
      </c>
      <c r="I1091" s="5" t="s">
        <v>10</v>
      </c>
    </row>
    <row r="1092" spans="1:9" x14ac:dyDescent="0.4">
      <c r="A1092" s="14">
        <v>44030</v>
      </c>
      <c r="B1092" s="5">
        <v>94660</v>
      </c>
      <c r="C1092" s="5" t="s">
        <v>25</v>
      </c>
      <c r="D1092" s="5">
        <v>788</v>
      </c>
      <c r="E1092" s="5">
        <v>1</v>
      </c>
      <c r="F1092" s="5">
        <v>2</v>
      </c>
      <c r="G1092" s="14">
        <v>32896</v>
      </c>
      <c r="H1092" s="5">
        <v>722600</v>
      </c>
      <c r="I1092" s="5" t="s">
        <v>17</v>
      </c>
    </row>
    <row r="1093" spans="1:9" x14ac:dyDescent="0.4">
      <c r="A1093" s="14">
        <v>44031</v>
      </c>
      <c r="B1093" s="5">
        <v>48357</v>
      </c>
      <c r="C1093" s="5" t="s">
        <v>35</v>
      </c>
      <c r="D1093" s="5">
        <v>710</v>
      </c>
      <c r="E1093" s="5">
        <v>3</v>
      </c>
      <c r="F1093" s="5">
        <v>2</v>
      </c>
      <c r="G1093" s="14">
        <v>33205</v>
      </c>
      <c r="H1093" s="5">
        <v>536867</v>
      </c>
      <c r="I1093" s="5" t="s">
        <v>10</v>
      </c>
    </row>
    <row r="1094" spans="1:9" x14ac:dyDescent="0.4">
      <c r="A1094" s="14">
        <v>44153</v>
      </c>
      <c r="B1094" s="5">
        <v>82429</v>
      </c>
      <c r="C1094" s="5" t="s">
        <v>24</v>
      </c>
      <c r="D1094" s="5">
        <v>751</v>
      </c>
      <c r="E1094" s="5">
        <v>2</v>
      </c>
      <c r="F1094" s="5">
        <v>2</v>
      </c>
      <c r="G1094" s="14">
        <v>34620</v>
      </c>
      <c r="H1094" s="5">
        <v>797411</v>
      </c>
      <c r="I1094" s="5" t="s">
        <v>10</v>
      </c>
    </row>
    <row r="1095" spans="1:9" x14ac:dyDescent="0.4">
      <c r="A1095" s="14">
        <v>43858</v>
      </c>
      <c r="B1095" s="5">
        <v>42072</v>
      </c>
      <c r="C1095" s="5" t="s">
        <v>12</v>
      </c>
      <c r="D1095" s="5">
        <v>769</v>
      </c>
      <c r="E1095" s="5">
        <v>2</v>
      </c>
      <c r="F1095" s="5">
        <v>9</v>
      </c>
      <c r="G1095" s="14">
        <v>34601</v>
      </c>
      <c r="H1095" s="5">
        <v>776408</v>
      </c>
      <c r="I1095" s="5" t="s">
        <v>10</v>
      </c>
    </row>
    <row r="1096" spans="1:9" x14ac:dyDescent="0.4">
      <c r="A1096" s="14">
        <v>43836</v>
      </c>
      <c r="B1096" s="5">
        <v>96186</v>
      </c>
      <c r="C1096" s="5" t="s">
        <v>18</v>
      </c>
      <c r="D1096" s="5">
        <v>798</v>
      </c>
      <c r="E1096" s="5">
        <v>3</v>
      </c>
      <c r="F1096" s="5">
        <v>9</v>
      </c>
      <c r="G1096" s="14">
        <v>34310</v>
      </c>
      <c r="H1096" s="5">
        <v>949902</v>
      </c>
      <c r="I1096" s="5"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AC3B-C9B3-45D6-9103-8931BD117584}">
  <dimension ref="A1"/>
  <sheetViews>
    <sheetView tabSelected="1" zoomScale="67" zoomScaleNormal="72" workbookViewId="0">
      <selection activeCell="AD41" sqref="AD41"/>
    </sheetView>
  </sheetViews>
  <sheetFormatPr defaultRowHeight="16" x14ac:dyDescent="0.4"/>
  <cols>
    <col min="1" max="1" width="4.08203125" customWidth="1"/>
    <col min="2" max="2" width="8.6640625" customWidth="1"/>
    <col min="3" max="3" width="4.08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FAF0-4B66-4A70-86C1-0F7F3746BD49}">
  <dimension ref="A3:E7"/>
  <sheetViews>
    <sheetView zoomScale="92" zoomScaleNormal="117" workbookViewId="0">
      <selection activeCell="C24" sqref="C24"/>
    </sheetView>
  </sheetViews>
  <sheetFormatPr defaultRowHeight="16" x14ac:dyDescent="0.4"/>
  <cols>
    <col min="1" max="1" width="12.75" bestFit="1" customWidth="1"/>
    <col min="2" max="2" width="32.5" style="5" bestFit="1" customWidth="1"/>
    <col min="3" max="3" width="16.9140625" bestFit="1" customWidth="1"/>
    <col min="4" max="4" width="18.9140625" style="5" customWidth="1"/>
    <col min="5" max="5" width="15.9140625" style="5" bestFit="1" customWidth="1"/>
    <col min="6" max="6" width="14.83203125" bestFit="1" customWidth="1"/>
    <col min="7" max="7" width="16.1640625" bestFit="1" customWidth="1"/>
    <col min="8" max="8" width="14.1640625" bestFit="1" customWidth="1"/>
    <col min="9" max="9" width="15.25" bestFit="1" customWidth="1"/>
    <col min="10" max="10" width="17.25" bestFit="1" customWidth="1"/>
    <col min="11" max="11" width="18.58203125" bestFit="1" customWidth="1"/>
    <col min="12" max="12" width="15.5" bestFit="1" customWidth="1"/>
    <col min="13" max="13" width="17.6640625" bestFit="1" customWidth="1"/>
    <col min="14" max="14" width="17.25" bestFit="1" customWidth="1"/>
    <col min="15" max="15" width="18.58203125" bestFit="1" customWidth="1"/>
    <col min="16" max="16" width="15.5" bestFit="1" customWidth="1"/>
    <col min="17" max="17" width="17.6640625" bestFit="1" customWidth="1"/>
    <col min="18" max="18" width="14.1640625" bestFit="1" customWidth="1"/>
    <col min="19" max="19" width="14.75" bestFit="1" customWidth="1"/>
    <col min="20" max="21" width="14.1640625" bestFit="1" customWidth="1"/>
    <col min="22" max="22" width="15.75" bestFit="1" customWidth="1"/>
    <col min="23" max="23" width="17.1640625" bestFit="1" customWidth="1"/>
    <col min="24" max="24" width="14.1640625" bestFit="1" customWidth="1"/>
    <col min="25" max="25" width="16.1640625" bestFit="1" customWidth="1"/>
    <col min="26" max="26" width="15.1640625" bestFit="1" customWidth="1"/>
  </cols>
  <sheetData>
    <row r="3" spans="1:5" x14ac:dyDescent="0.4">
      <c r="A3" s="2" t="s">
        <v>8</v>
      </c>
      <c r="B3" s="5" t="s">
        <v>38</v>
      </c>
      <c r="D3" s="12" t="s">
        <v>58</v>
      </c>
      <c r="E3" s="13">
        <f>GETPIVOTDATA("New Loan Application amount",$A$3)</f>
        <v>822507545</v>
      </c>
    </row>
    <row r="4" spans="1:5" x14ac:dyDescent="0.4">
      <c r="A4" s="3" t="s">
        <v>17</v>
      </c>
      <c r="B4" s="7">
        <v>271362116</v>
      </c>
    </row>
    <row r="5" spans="1:5" x14ac:dyDescent="0.4">
      <c r="A5" s="3" t="s">
        <v>10</v>
      </c>
      <c r="B5" s="7">
        <v>271248158</v>
      </c>
    </row>
    <row r="6" spans="1:5" x14ac:dyDescent="0.4">
      <c r="A6" s="3" t="s">
        <v>14</v>
      </c>
      <c r="B6" s="7">
        <v>279897271</v>
      </c>
    </row>
    <row r="7" spans="1:5" x14ac:dyDescent="0.4">
      <c r="A7" s="3" t="s">
        <v>37</v>
      </c>
      <c r="B7" s="7">
        <v>822507545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3291-FACC-4BD8-A32B-3CEDD55176EE}">
  <dimension ref="A3:Z8"/>
  <sheetViews>
    <sheetView topLeftCell="A3" zoomScale="82" workbookViewId="0">
      <selection activeCell="K31" sqref="K31"/>
    </sheetView>
  </sheetViews>
  <sheetFormatPr defaultRowHeight="16" x14ac:dyDescent="0.4"/>
  <cols>
    <col min="1" max="1" width="32.9140625" bestFit="1" customWidth="1"/>
    <col min="2" max="2" width="16.1640625" bestFit="1" customWidth="1"/>
    <col min="3" max="3" width="17.5" bestFit="1" customWidth="1"/>
    <col min="4" max="4" width="14.58203125" bestFit="1" customWidth="1"/>
    <col min="5" max="5" width="16.58203125" bestFit="1" customWidth="1"/>
    <col min="6" max="6" width="15.5" bestFit="1" customWidth="1"/>
    <col min="7" max="7" width="16.75" bestFit="1" customWidth="1"/>
    <col min="8" max="8" width="14.58203125" bestFit="1" customWidth="1"/>
    <col min="9" max="9" width="15.9140625" bestFit="1" customWidth="1"/>
    <col min="10" max="10" width="17.83203125" bestFit="1" customWidth="1"/>
    <col min="11" max="11" width="19.08203125" bestFit="1" customWidth="1"/>
    <col min="12" max="12" width="15.9140625" bestFit="1" customWidth="1"/>
    <col min="13" max="13" width="18.25" bestFit="1" customWidth="1"/>
    <col min="14" max="14" width="17.83203125" bestFit="1" customWidth="1"/>
    <col min="15" max="15" width="19.08203125" bestFit="1" customWidth="1"/>
    <col min="16" max="16" width="15.9140625" bestFit="1" customWidth="1"/>
    <col min="17" max="17" width="18.25" bestFit="1" customWidth="1"/>
    <col min="18" max="18" width="14.58203125" bestFit="1" customWidth="1"/>
    <col min="19" max="19" width="15.08203125" bestFit="1" customWidth="1"/>
    <col min="20" max="21" width="14.58203125" bestFit="1" customWidth="1"/>
    <col min="22" max="22" width="16.25" bestFit="1" customWidth="1"/>
    <col min="23" max="23" width="17.58203125" bestFit="1" customWidth="1"/>
    <col min="24" max="24" width="14.58203125" bestFit="1" customWidth="1"/>
    <col min="25" max="25" width="16.6640625" bestFit="1" customWidth="1"/>
    <col min="26" max="26" width="15.6640625" bestFit="1" customWidth="1"/>
  </cols>
  <sheetData>
    <row r="3" spans="1:26" x14ac:dyDescent="0.4">
      <c r="A3" s="2" t="s">
        <v>38</v>
      </c>
      <c r="B3" s="2" t="s">
        <v>39</v>
      </c>
    </row>
    <row r="4" spans="1:26" x14ac:dyDescent="0.4">
      <c r="A4" s="2" t="s">
        <v>36</v>
      </c>
      <c r="B4" t="s">
        <v>30</v>
      </c>
      <c r="C4" t="s">
        <v>28</v>
      </c>
      <c r="D4" t="s">
        <v>27</v>
      </c>
      <c r="E4" t="s">
        <v>34</v>
      </c>
      <c r="F4" t="s">
        <v>24</v>
      </c>
      <c r="G4" t="s">
        <v>35</v>
      </c>
      <c r="H4" t="s">
        <v>31</v>
      </c>
      <c r="I4" t="s">
        <v>13</v>
      </c>
      <c r="J4" t="s">
        <v>9</v>
      </c>
      <c r="K4" t="s">
        <v>12</v>
      </c>
      <c r="L4" t="s">
        <v>19</v>
      </c>
      <c r="M4" t="s">
        <v>15</v>
      </c>
      <c r="N4" t="s">
        <v>26</v>
      </c>
      <c r="O4" t="s">
        <v>11</v>
      </c>
      <c r="P4" t="s">
        <v>23</v>
      </c>
      <c r="Q4" t="s">
        <v>16</v>
      </c>
      <c r="R4" t="s">
        <v>25</v>
      </c>
      <c r="S4" t="s">
        <v>29</v>
      </c>
      <c r="T4" t="s">
        <v>32</v>
      </c>
      <c r="U4" t="s">
        <v>21</v>
      </c>
      <c r="V4" t="s">
        <v>33</v>
      </c>
      <c r="W4" t="s">
        <v>18</v>
      </c>
      <c r="X4" t="s">
        <v>20</v>
      </c>
      <c r="Y4" t="s">
        <v>22</v>
      </c>
      <c r="Z4" t="s">
        <v>37</v>
      </c>
    </row>
    <row r="5" spans="1:26" x14ac:dyDescent="0.4">
      <c r="A5" s="3" t="s">
        <v>17</v>
      </c>
      <c r="B5" s="4">
        <v>12101333</v>
      </c>
      <c r="C5" s="4">
        <v>15190119</v>
      </c>
      <c r="D5" s="4">
        <v>10051040</v>
      </c>
      <c r="E5" s="4">
        <v>8374266</v>
      </c>
      <c r="F5" s="4">
        <v>14034986</v>
      </c>
      <c r="G5" s="4">
        <v>7815312</v>
      </c>
      <c r="H5" s="4">
        <v>15070883</v>
      </c>
      <c r="I5" s="4">
        <v>9476785</v>
      </c>
      <c r="J5" s="4">
        <v>14258317</v>
      </c>
      <c r="K5" s="4">
        <v>10566762</v>
      </c>
      <c r="L5" s="4">
        <v>9602690</v>
      </c>
      <c r="M5" s="4">
        <v>14784240</v>
      </c>
      <c r="N5" s="4">
        <v>14473092</v>
      </c>
      <c r="O5" s="4">
        <v>7793513</v>
      </c>
      <c r="P5" s="4">
        <v>9996545</v>
      </c>
      <c r="Q5" s="4">
        <v>11084996</v>
      </c>
      <c r="R5" s="4">
        <v>14726663</v>
      </c>
      <c r="S5" s="4">
        <v>7103470</v>
      </c>
      <c r="T5" s="4">
        <v>9231323</v>
      </c>
      <c r="U5" s="4">
        <v>11463189</v>
      </c>
      <c r="V5" s="4">
        <v>11420746</v>
      </c>
      <c r="W5" s="4">
        <v>11125345</v>
      </c>
      <c r="X5" s="4">
        <v>8495327</v>
      </c>
      <c r="Y5" s="4">
        <v>13121174</v>
      </c>
      <c r="Z5" s="4">
        <v>271362116</v>
      </c>
    </row>
    <row r="6" spans="1:26" x14ac:dyDescent="0.4">
      <c r="A6" s="3" t="s">
        <v>10</v>
      </c>
      <c r="B6" s="4">
        <v>18335575</v>
      </c>
      <c r="C6" s="4">
        <v>11916463</v>
      </c>
      <c r="D6" s="4">
        <v>10162217</v>
      </c>
      <c r="E6" s="4">
        <v>13506588</v>
      </c>
      <c r="F6" s="4">
        <v>16928687</v>
      </c>
      <c r="G6" s="4">
        <v>11750690</v>
      </c>
      <c r="H6" s="4">
        <v>8481360</v>
      </c>
      <c r="I6" s="4">
        <v>10653695</v>
      </c>
      <c r="J6" s="4">
        <v>10508474</v>
      </c>
      <c r="K6" s="4">
        <v>14676321</v>
      </c>
      <c r="L6" s="4">
        <v>9090328</v>
      </c>
      <c r="M6" s="4">
        <v>13432979</v>
      </c>
      <c r="N6" s="4">
        <v>7376791</v>
      </c>
      <c r="O6" s="4">
        <v>12859275</v>
      </c>
      <c r="P6" s="4">
        <v>7667493</v>
      </c>
      <c r="Q6" s="4">
        <v>8716008</v>
      </c>
      <c r="R6" s="4">
        <v>11140692</v>
      </c>
      <c r="S6" s="4">
        <v>11580522</v>
      </c>
      <c r="T6" s="4">
        <v>6594664</v>
      </c>
      <c r="U6" s="4">
        <v>10451008</v>
      </c>
      <c r="V6" s="4">
        <v>7698976</v>
      </c>
      <c r="W6" s="4">
        <v>10375753</v>
      </c>
      <c r="X6" s="4">
        <v>14199637</v>
      </c>
      <c r="Y6" s="4">
        <v>13143962</v>
      </c>
      <c r="Z6" s="4">
        <v>271248158</v>
      </c>
    </row>
    <row r="7" spans="1:26" x14ac:dyDescent="0.4">
      <c r="A7" s="3" t="s">
        <v>14</v>
      </c>
      <c r="B7" s="4">
        <v>8429355</v>
      </c>
      <c r="C7" s="4">
        <v>9072157</v>
      </c>
      <c r="D7" s="4">
        <v>9443818</v>
      </c>
      <c r="E7" s="4">
        <v>14998935</v>
      </c>
      <c r="F7" s="4">
        <v>13751849</v>
      </c>
      <c r="G7" s="4">
        <v>7721195</v>
      </c>
      <c r="H7" s="4">
        <v>14295387</v>
      </c>
      <c r="I7" s="4">
        <v>14838209</v>
      </c>
      <c r="J7" s="4">
        <v>13596281</v>
      </c>
      <c r="K7" s="4">
        <v>13206569</v>
      </c>
      <c r="L7" s="4">
        <v>12040914</v>
      </c>
      <c r="M7" s="4">
        <v>11760155</v>
      </c>
      <c r="N7" s="4">
        <v>9252547</v>
      </c>
      <c r="O7" s="4">
        <v>12700398</v>
      </c>
      <c r="P7" s="4">
        <v>10410583</v>
      </c>
      <c r="Q7" s="4">
        <v>19950348</v>
      </c>
      <c r="R7" s="4">
        <v>6528224</v>
      </c>
      <c r="S7" s="4">
        <v>13220420</v>
      </c>
      <c r="T7" s="4">
        <v>16508096</v>
      </c>
      <c r="U7" s="4">
        <v>12827132</v>
      </c>
      <c r="V7" s="4">
        <v>8614805</v>
      </c>
      <c r="W7" s="4">
        <v>12003093</v>
      </c>
      <c r="X7" s="4">
        <v>7476046</v>
      </c>
      <c r="Y7" s="4">
        <v>7250755</v>
      </c>
      <c r="Z7" s="4">
        <v>279897271</v>
      </c>
    </row>
    <row r="8" spans="1:26" x14ac:dyDescent="0.4">
      <c r="A8" s="3" t="s">
        <v>37</v>
      </c>
      <c r="B8" s="4">
        <v>38866263</v>
      </c>
      <c r="C8" s="4">
        <v>36178739</v>
      </c>
      <c r="D8" s="4">
        <v>29657075</v>
      </c>
      <c r="E8" s="4">
        <v>36879789</v>
      </c>
      <c r="F8" s="4">
        <v>44715522</v>
      </c>
      <c r="G8" s="4">
        <v>27287197</v>
      </c>
      <c r="H8" s="4">
        <v>37847630</v>
      </c>
      <c r="I8" s="4">
        <v>34968689</v>
      </c>
      <c r="J8" s="4">
        <v>38363072</v>
      </c>
      <c r="K8" s="4">
        <v>38449652</v>
      </c>
      <c r="L8" s="4">
        <v>30733932</v>
      </c>
      <c r="M8" s="4">
        <v>39977374</v>
      </c>
      <c r="N8" s="4">
        <v>31102430</v>
      </c>
      <c r="O8" s="4">
        <v>33353186</v>
      </c>
      <c r="P8" s="4">
        <v>28074621</v>
      </c>
      <c r="Q8" s="4">
        <v>39751352</v>
      </c>
      <c r="R8" s="4">
        <v>32395579</v>
      </c>
      <c r="S8" s="4">
        <v>31904412</v>
      </c>
      <c r="T8" s="4">
        <v>32334083</v>
      </c>
      <c r="U8" s="4">
        <v>34741329</v>
      </c>
      <c r="V8" s="4">
        <v>27734527</v>
      </c>
      <c r="W8" s="4">
        <v>33504191</v>
      </c>
      <c r="X8" s="4">
        <v>30171010</v>
      </c>
      <c r="Y8" s="4">
        <v>33515891</v>
      </c>
      <c r="Z8" s="4">
        <v>822507545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E74E-789A-469B-860B-0777C0C745C1}">
  <dimension ref="A3:G28"/>
  <sheetViews>
    <sheetView topLeftCell="A3" zoomScale="86" workbookViewId="0">
      <selection activeCell="P23" sqref="P23"/>
    </sheetView>
  </sheetViews>
  <sheetFormatPr defaultRowHeight="16" x14ac:dyDescent="0.4"/>
  <cols>
    <col min="1" max="1" width="25.1640625" customWidth="1"/>
    <col min="2" max="2" width="20.75" bestFit="1" customWidth="1"/>
    <col min="3" max="4" width="11.75" bestFit="1" customWidth="1"/>
    <col min="5" max="5" width="11.75" style="5" bestFit="1" customWidth="1"/>
    <col min="6" max="7" width="8.6640625" style="5"/>
  </cols>
  <sheetData>
    <row r="3" spans="1:2" x14ac:dyDescent="0.4">
      <c r="A3" s="2" t="s">
        <v>2</v>
      </c>
      <c r="B3" t="s">
        <v>40</v>
      </c>
    </row>
    <row r="4" spans="1:2" x14ac:dyDescent="0.4">
      <c r="A4" s="3" t="s">
        <v>30</v>
      </c>
      <c r="B4">
        <v>746.05882352941171</v>
      </c>
    </row>
    <row r="5" spans="1:2" x14ac:dyDescent="0.4">
      <c r="A5" s="3" t="s">
        <v>28</v>
      </c>
      <c r="B5">
        <v>742.54</v>
      </c>
    </row>
    <row r="6" spans="1:2" x14ac:dyDescent="0.4">
      <c r="A6" s="3" t="s">
        <v>27</v>
      </c>
      <c r="B6">
        <v>746.81081081081084</v>
      </c>
    </row>
    <row r="7" spans="1:2" x14ac:dyDescent="0.4">
      <c r="A7" s="3" t="s">
        <v>34</v>
      </c>
      <c r="B7">
        <v>751.8</v>
      </c>
    </row>
    <row r="8" spans="1:2" x14ac:dyDescent="0.4">
      <c r="A8" s="3" t="s">
        <v>24</v>
      </c>
      <c r="B8">
        <v>750.77966101694915</v>
      </c>
    </row>
    <row r="9" spans="1:2" x14ac:dyDescent="0.4">
      <c r="A9" s="3" t="s">
        <v>35</v>
      </c>
      <c r="B9">
        <v>749.02631578947364</v>
      </c>
    </row>
    <row r="10" spans="1:2" x14ac:dyDescent="0.4">
      <c r="A10" s="3" t="s">
        <v>31</v>
      </c>
      <c r="B10">
        <v>752</v>
      </c>
    </row>
    <row r="11" spans="1:2" x14ac:dyDescent="0.4">
      <c r="A11" s="3" t="s">
        <v>13</v>
      </c>
      <c r="B11">
        <v>750.60869565217388</v>
      </c>
    </row>
    <row r="12" spans="1:2" x14ac:dyDescent="0.4">
      <c r="A12" s="3" t="s">
        <v>9</v>
      </c>
      <c r="B12">
        <v>752.94117647058829</v>
      </c>
    </row>
    <row r="13" spans="1:2" x14ac:dyDescent="0.4">
      <c r="A13" s="3" t="s">
        <v>12</v>
      </c>
      <c r="B13">
        <v>756.1960784313726</v>
      </c>
    </row>
    <row r="14" spans="1:2" x14ac:dyDescent="0.4">
      <c r="A14" s="3" t="s">
        <v>19</v>
      </c>
      <c r="B14">
        <v>753.73170731707319</v>
      </c>
    </row>
    <row r="15" spans="1:2" x14ac:dyDescent="0.4">
      <c r="A15" s="3" t="s">
        <v>15</v>
      </c>
      <c r="B15">
        <v>746.88235294117646</v>
      </c>
    </row>
    <row r="16" spans="1:2" x14ac:dyDescent="0.4">
      <c r="A16" s="3" t="s">
        <v>26</v>
      </c>
      <c r="B16">
        <v>750</v>
      </c>
    </row>
    <row r="17" spans="1:7" x14ac:dyDescent="0.4">
      <c r="A17" s="3" t="s">
        <v>11</v>
      </c>
      <c r="B17">
        <v>747.4545454545455</v>
      </c>
      <c r="E17" s="6" t="s">
        <v>59</v>
      </c>
      <c r="F17" s="6"/>
      <c r="G17" s="8">
        <f>GETPIVOTDATA("Credit Score",$A$3)</f>
        <v>749.04931506849312</v>
      </c>
    </row>
    <row r="18" spans="1:7" x14ac:dyDescent="0.4">
      <c r="A18" s="3" t="s">
        <v>23</v>
      </c>
      <c r="B18">
        <v>752.59459459459458</v>
      </c>
    </row>
    <row r="19" spans="1:7" x14ac:dyDescent="0.4">
      <c r="A19" s="3" t="s">
        <v>16</v>
      </c>
      <c r="B19">
        <v>748.75471698113211</v>
      </c>
    </row>
    <row r="20" spans="1:7" x14ac:dyDescent="0.4">
      <c r="A20" s="3" t="s">
        <v>25</v>
      </c>
      <c r="B20">
        <v>753.24444444444441</v>
      </c>
    </row>
    <row r="21" spans="1:7" x14ac:dyDescent="0.4">
      <c r="A21" s="3" t="s">
        <v>29</v>
      </c>
      <c r="B21">
        <v>751</v>
      </c>
    </row>
    <row r="22" spans="1:7" x14ac:dyDescent="0.4">
      <c r="A22" s="3" t="s">
        <v>32</v>
      </c>
      <c r="B22">
        <v>741.09523809523807</v>
      </c>
    </row>
    <row r="23" spans="1:7" x14ac:dyDescent="0.4">
      <c r="A23" s="3" t="s">
        <v>21</v>
      </c>
      <c r="B23">
        <v>738.95555555555552</v>
      </c>
    </row>
    <row r="24" spans="1:7" x14ac:dyDescent="0.4">
      <c r="A24" s="3" t="s">
        <v>33</v>
      </c>
      <c r="B24">
        <v>748.20512820512818</v>
      </c>
    </row>
    <row r="25" spans="1:7" x14ac:dyDescent="0.4">
      <c r="A25" s="3" t="s">
        <v>18</v>
      </c>
      <c r="B25">
        <v>748.22727272727275</v>
      </c>
    </row>
    <row r="26" spans="1:7" x14ac:dyDescent="0.4">
      <c r="A26" s="3" t="s">
        <v>20</v>
      </c>
      <c r="B26">
        <v>750.84615384615381</v>
      </c>
    </row>
    <row r="27" spans="1:7" x14ac:dyDescent="0.4">
      <c r="A27" s="3" t="s">
        <v>22</v>
      </c>
      <c r="B27">
        <v>746.54347826086962</v>
      </c>
    </row>
    <row r="28" spans="1:7" x14ac:dyDescent="0.4">
      <c r="A28" s="3" t="s">
        <v>37</v>
      </c>
      <c r="B28">
        <v>749.04931506849312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F6B43-F16C-4FD1-9951-7707AFF74AF8}">
  <dimension ref="A3:K28"/>
  <sheetViews>
    <sheetView topLeftCell="A2" zoomScale="74" workbookViewId="0">
      <selection activeCell="I30" sqref="I30"/>
    </sheetView>
  </sheetViews>
  <sheetFormatPr defaultRowHeight="16" x14ac:dyDescent="0.4"/>
  <cols>
    <col min="1" max="1" width="28.33203125" style="5" bestFit="1" customWidth="1"/>
    <col min="2" max="2" width="16.08203125" style="5" bestFit="1" customWidth="1"/>
    <col min="3" max="3" width="17.9140625" style="5" bestFit="1" customWidth="1"/>
    <col min="4" max="4" width="17.5" style="5" bestFit="1" customWidth="1"/>
    <col min="5" max="5" width="17.6640625" bestFit="1" customWidth="1"/>
  </cols>
  <sheetData>
    <row r="3" spans="1:4" x14ac:dyDescent="0.4">
      <c r="A3" s="10" t="s">
        <v>2</v>
      </c>
      <c r="B3" s="5" t="s">
        <v>41</v>
      </c>
      <c r="C3" s="5" t="s">
        <v>42</v>
      </c>
      <c r="D3" s="5" t="s">
        <v>43</v>
      </c>
    </row>
    <row r="4" spans="1:4" x14ac:dyDescent="0.4">
      <c r="A4" s="5" t="s">
        <v>30</v>
      </c>
      <c r="B4" s="5">
        <v>142</v>
      </c>
      <c r="C4" s="5">
        <v>284</v>
      </c>
      <c r="D4" s="11">
        <v>2</v>
      </c>
    </row>
    <row r="5" spans="1:4" x14ac:dyDescent="0.4">
      <c r="A5" s="5" t="s">
        <v>28</v>
      </c>
      <c r="B5" s="5">
        <v>156</v>
      </c>
      <c r="C5" s="5">
        <v>254</v>
      </c>
      <c r="D5" s="11">
        <v>1.6282051282051282</v>
      </c>
    </row>
    <row r="6" spans="1:4" x14ac:dyDescent="0.4">
      <c r="A6" s="5" t="s">
        <v>27</v>
      </c>
      <c r="B6" s="5">
        <v>106</v>
      </c>
      <c r="C6" s="5">
        <v>204</v>
      </c>
      <c r="D6" s="11">
        <v>1.9245283018867925</v>
      </c>
    </row>
    <row r="7" spans="1:4" x14ac:dyDescent="0.4">
      <c r="A7" s="5" t="s">
        <v>34</v>
      </c>
      <c r="B7" s="5">
        <v>146</v>
      </c>
      <c r="C7" s="5">
        <v>247</v>
      </c>
      <c r="D7" s="11">
        <v>1.6917808219178083</v>
      </c>
    </row>
    <row r="8" spans="1:4" x14ac:dyDescent="0.4">
      <c r="A8" s="5" t="s">
        <v>24</v>
      </c>
      <c r="B8" s="5">
        <v>182</v>
      </c>
      <c r="C8" s="5">
        <v>338</v>
      </c>
      <c r="D8" s="11">
        <v>1.8571428571428572</v>
      </c>
    </row>
    <row r="9" spans="1:4" x14ac:dyDescent="0.4">
      <c r="A9" s="5" t="s">
        <v>35</v>
      </c>
      <c r="B9" s="5">
        <v>111</v>
      </c>
      <c r="C9" s="5">
        <v>175</v>
      </c>
      <c r="D9" s="11">
        <v>1.5765765765765767</v>
      </c>
    </row>
    <row r="10" spans="1:4" x14ac:dyDescent="0.4">
      <c r="A10" s="5" t="s">
        <v>31</v>
      </c>
      <c r="B10" s="5">
        <v>155</v>
      </c>
      <c r="C10" s="5">
        <v>267</v>
      </c>
      <c r="D10" s="11">
        <v>1.7225806451612904</v>
      </c>
    </row>
    <row r="11" spans="1:4" x14ac:dyDescent="0.4">
      <c r="A11" s="5" t="s">
        <v>13</v>
      </c>
      <c r="B11" s="5">
        <v>141</v>
      </c>
      <c r="C11" s="5">
        <v>250</v>
      </c>
      <c r="D11" s="11">
        <v>1.7730496453900708</v>
      </c>
    </row>
    <row r="12" spans="1:4" x14ac:dyDescent="0.4">
      <c r="A12" s="5" t="s">
        <v>9</v>
      </c>
      <c r="B12" s="5">
        <v>153</v>
      </c>
      <c r="C12" s="5">
        <v>287</v>
      </c>
      <c r="D12" s="11">
        <v>1.8758169934640523</v>
      </c>
    </row>
    <row r="13" spans="1:4" x14ac:dyDescent="0.4">
      <c r="A13" s="5" t="s">
        <v>12</v>
      </c>
      <c r="B13" s="5">
        <v>157</v>
      </c>
      <c r="C13" s="5">
        <v>312</v>
      </c>
      <c r="D13" s="11">
        <v>1.9872611464968153</v>
      </c>
    </row>
    <row r="14" spans="1:4" x14ac:dyDescent="0.4">
      <c r="A14" s="5" t="s">
        <v>19</v>
      </c>
      <c r="B14" s="5">
        <v>134</v>
      </c>
      <c r="C14" s="5">
        <v>202</v>
      </c>
      <c r="D14" s="11">
        <v>1.5074626865671641</v>
      </c>
    </row>
    <row r="15" spans="1:4" x14ac:dyDescent="0.4">
      <c r="A15" s="5" t="s">
        <v>15</v>
      </c>
      <c r="B15" s="5">
        <v>135</v>
      </c>
      <c r="C15" s="5">
        <v>259</v>
      </c>
      <c r="D15" s="11">
        <v>1.9185185185185185</v>
      </c>
    </row>
    <row r="16" spans="1:4" x14ac:dyDescent="0.4">
      <c r="A16" s="5" t="s">
        <v>26</v>
      </c>
      <c r="B16" s="5">
        <v>133</v>
      </c>
      <c r="C16" s="5">
        <v>215</v>
      </c>
      <c r="D16" s="11">
        <v>1.6165413533834587</v>
      </c>
    </row>
    <row r="17" spans="1:11" x14ac:dyDescent="0.4">
      <c r="A17" s="5" t="s">
        <v>11</v>
      </c>
      <c r="B17" s="5">
        <v>137</v>
      </c>
      <c r="C17" s="5">
        <v>238</v>
      </c>
      <c r="D17" s="11">
        <v>1.7372262773722629</v>
      </c>
    </row>
    <row r="18" spans="1:11" x14ac:dyDescent="0.4">
      <c r="A18" s="5" t="s">
        <v>23</v>
      </c>
      <c r="B18" s="5">
        <v>122</v>
      </c>
      <c r="C18" s="5">
        <v>184</v>
      </c>
      <c r="D18" s="11">
        <v>1.5081967213114753</v>
      </c>
    </row>
    <row r="19" spans="1:11" x14ac:dyDescent="0.4">
      <c r="A19" s="5" t="s">
        <v>16</v>
      </c>
      <c r="B19" s="5">
        <v>155</v>
      </c>
      <c r="C19" s="5">
        <v>242</v>
      </c>
      <c r="D19" s="11">
        <v>1.5612903225806452</v>
      </c>
    </row>
    <row r="20" spans="1:11" x14ac:dyDescent="0.4">
      <c r="A20" s="5" t="s">
        <v>25</v>
      </c>
      <c r="B20" s="5">
        <v>120</v>
      </c>
      <c r="C20" s="5">
        <v>226</v>
      </c>
      <c r="D20" s="11">
        <v>1.8833333333333333</v>
      </c>
    </row>
    <row r="21" spans="1:11" x14ac:dyDescent="0.4">
      <c r="A21" s="5" t="s">
        <v>29</v>
      </c>
      <c r="B21" s="5">
        <v>134</v>
      </c>
      <c r="C21" s="5">
        <v>227</v>
      </c>
      <c r="D21" s="11">
        <v>1.6940298507462686</v>
      </c>
    </row>
    <row r="22" spans="1:11" x14ac:dyDescent="0.4">
      <c r="A22" s="5" t="s">
        <v>32</v>
      </c>
      <c r="B22" s="5">
        <v>113</v>
      </c>
      <c r="C22" s="5">
        <v>231</v>
      </c>
      <c r="D22" s="11">
        <v>2.0442477876106193</v>
      </c>
    </row>
    <row r="23" spans="1:11" x14ac:dyDescent="0.4">
      <c r="A23" s="5" t="s">
        <v>21</v>
      </c>
      <c r="B23" s="5">
        <v>131</v>
      </c>
      <c r="C23" s="5">
        <v>272</v>
      </c>
      <c r="D23" s="11">
        <v>2.0763358778625953</v>
      </c>
      <c r="H23" s="1" t="s">
        <v>60</v>
      </c>
      <c r="I23" s="1"/>
      <c r="J23" s="1"/>
      <c r="K23" s="9">
        <f>GETPIVOTDATA("Sum of Default Rate",$A$3)</f>
        <v>1.7763198046994202</v>
      </c>
    </row>
    <row r="24" spans="1:11" x14ac:dyDescent="0.4">
      <c r="A24" s="5" t="s">
        <v>33</v>
      </c>
      <c r="B24" s="5">
        <v>110</v>
      </c>
      <c r="C24" s="5">
        <v>204</v>
      </c>
      <c r="D24" s="11">
        <v>1.8545454545454545</v>
      </c>
    </row>
    <row r="25" spans="1:11" x14ac:dyDescent="0.4">
      <c r="A25" s="5" t="s">
        <v>18</v>
      </c>
      <c r="B25" s="5">
        <v>135</v>
      </c>
      <c r="C25" s="5">
        <v>249</v>
      </c>
      <c r="D25" s="11">
        <v>1.8444444444444446</v>
      </c>
    </row>
    <row r="26" spans="1:11" x14ac:dyDescent="0.4">
      <c r="A26" s="5" t="s">
        <v>20</v>
      </c>
      <c r="B26" s="5">
        <v>129</v>
      </c>
      <c r="C26" s="5">
        <v>197</v>
      </c>
      <c r="D26" s="11">
        <v>1.5271317829457365</v>
      </c>
    </row>
    <row r="27" spans="1:11" x14ac:dyDescent="0.4">
      <c r="A27" s="5" t="s">
        <v>22</v>
      </c>
      <c r="B27" s="5">
        <v>140</v>
      </c>
      <c r="C27" s="5">
        <v>257</v>
      </c>
      <c r="D27" s="11">
        <v>1.8357142857142856</v>
      </c>
    </row>
    <row r="28" spans="1:11" x14ac:dyDescent="0.4">
      <c r="A28" s="5" t="s">
        <v>37</v>
      </c>
      <c r="B28" s="5">
        <v>3277</v>
      </c>
      <c r="C28" s="5">
        <v>5821</v>
      </c>
      <c r="D28" s="11">
        <v>1.7763198046994202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D862-9FCA-4E72-A2E0-8EEEC584EA25}">
  <dimension ref="A3:D20"/>
  <sheetViews>
    <sheetView topLeftCell="A3" zoomScale="71" workbookViewId="0">
      <selection activeCell="D33" sqref="D33"/>
    </sheetView>
  </sheetViews>
  <sheetFormatPr defaultRowHeight="16" x14ac:dyDescent="0.4"/>
  <cols>
    <col min="1" max="1" width="10.6640625" style="5" bestFit="1" customWidth="1"/>
    <col min="2" max="2" width="17.4140625" style="5" bestFit="1" customWidth="1"/>
    <col min="3" max="3" width="32.1640625" style="5" bestFit="1" customWidth="1"/>
    <col min="4" max="4" width="29.1640625" style="5" customWidth="1"/>
  </cols>
  <sheetData>
    <row r="3" spans="1:3" x14ac:dyDescent="0.4">
      <c r="A3" s="10" t="s">
        <v>62</v>
      </c>
      <c r="B3" s="5" t="s">
        <v>57</v>
      </c>
      <c r="C3" s="5" t="s">
        <v>38</v>
      </c>
    </row>
    <row r="4" spans="1:3" x14ac:dyDescent="0.4">
      <c r="A4" s="5" t="s">
        <v>56</v>
      </c>
      <c r="B4" s="5">
        <v>60637871</v>
      </c>
      <c r="C4" s="5">
        <v>822507545</v>
      </c>
    </row>
    <row r="5" spans="1:3" x14ac:dyDescent="0.4">
      <c r="A5" s="5" t="s">
        <v>44</v>
      </c>
      <c r="B5" s="5">
        <v>5894833</v>
      </c>
      <c r="C5" s="5">
        <v>77337543</v>
      </c>
    </row>
    <row r="6" spans="1:3" x14ac:dyDescent="0.4">
      <c r="A6" s="5" t="s">
        <v>45</v>
      </c>
      <c r="B6" s="5">
        <v>5720035</v>
      </c>
      <c r="C6" s="5">
        <v>75393920</v>
      </c>
    </row>
    <row r="7" spans="1:3" x14ac:dyDescent="0.4">
      <c r="A7" s="5" t="s">
        <v>46</v>
      </c>
      <c r="B7" s="5">
        <v>6223202</v>
      </c>
      <c r="C7" s="5">
        <v>81949442</v>
      </c>
    </row>
    <row r="8" spans="1:3" x14ac:dyDescent="0.4">
      <c r="A8" s="5" t="s">
        <v>47</v>
      </c>
      <c r="B8" s="5">
        <v>4953296</v>
      </c>
      <c r="C8" s="5">
        <v>71475896</v>
      </c>
    </row>
    <row r="9" spans="1:3" x14ac:dyDescent="0.4">
      <c r="A9" s="5" t="s">
        <v>48</v>
      </c>
      <c r="B9" s="5">
        <v>6508624</v>
      </c>
      <c r="C9" s="5">
        <v>84087828</v>
      </c>
    </row>
    <row r="10" spans="1:3" x14ac:dyDescent="0.4">
      <c r="A10" s="5" t="s">
        <v>49</v>
      </c>
      <c r="B10" s="5">
        <v>4977179</v>
      </c>
      <c r="C10" s="5">
        <v>74287048</v>
      </c>
    </row>
    <row r="11" spans="1:3" x14ac:dyDescent="0.4">
      <c r="A11" s="5" t="s">
        <v>50</v>
      </c>
      <c r="B11" s="5">
        <v>4842125</v>
      </c>
      <c r="C11" s="5">
        <v>69827375</v>
      </c>
    </row>
    <row r="12" spans="1:3" x14ac:dyDescent="0.4">
      <c r="A12" s="5" t="s">
        <v>51</v>
      </c>
      <c r="B12" s="5">
        <v>4576865</v>
      </c>
      <c r="C12" s="5">
        <v>62308924</v>
      </c>
    </row>
    <row r="13" spans="1:3" x14ac:dyDescent="0.4">
      <c r="A13" s="5" t="s">
        <v>52</v>
      </c>
      <c r="B13" s="5">
        <v>5972519</v>
      </c>
      <c r="C13" s="5">
        <v>76800146</v>
      </c>
    </row>
    <row r="14" spans="1:3" x14ac:dyDescent="0.4">
      <c r="A14" s="5" t="s">
        <v>53</v>
      </c>
      <c r="B14" s="5">
        <v>5078755</v>
      </c>
      <c r="C14" s="5">
        <v>65564078</v>
      </c>
    </row>
    <row r="15" spans="1:3" x14ac:dyDescent="0.4">
      <c r="A15" s="5" t="s">
        <v>54</v>
      </c>
      <c r="B15" s="5">
        <v>4497466</v>
      </c>
      <c r="C15" s="5">
        <v>65337978</v>
      </c>
    </row>
    <row r="16" spans="1:3" x14ac:dyDescent="0.4">
      <c r="A16" s="5" t="s">
        <v>55</v>
      </c>
      <c r="B16" s="5">
        <v>1392972</v>
      </c>
      <c r="C16" s="5">
        <v>18137367</v>
      </c>
    </row>
    <row r="17" spans="1:3" x14ac:dyDescent="0.4">
      <c r="A17" s="5" t="s">
        <v>37</v>
      </c>
      <c r="B17" s="5">
        <v>60637871</v>
      </c>
      <c r="C17" s="5">
        <v>822507545</v>
      </c>
    </row>
    <row r="20" spans="1:3" x14ac:dyDescent="0.4">
      <c r="A20" s="12" t="s">
        <v>61</v>
      </c>
      <c r="B20" s="13">
        <f>GETPIVOTDATA("Sum of CustomerID",$A$3)</f>
        <v>60637871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Raw Data</vt:lpstr>
      <vt:lpstr>Dashboard</vt:lpstr>
      <vt:lpstr>Total Loan Amount</vt:lpstr>
      <vt:lpstr>Sum of Loan amount by Dept</vt:lpstr>
      <vt:lpstr>Avg of Credit Score</vt:lpstr>
      <vt:lpstr>Avg of Default Rate</vt:lpstr>
      <vt:lpstr>Loan &amp; Cx count trend</vt:lpstr>
      <vt:lpstr>Ju</vt:lpstr>
      <vt:lpstr>JustLoan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Kharol</dc:creator>
  <cp:lastModifiedBy>ankur chowdhury</cp:lastModifiedBy>
  <dcterms:created xsi:type="dcterms:W3CDTF">2024-12-26T07:03:16Z</dcterms:created>
  <dcterms:modified xsi:type="dcterms:W3CDTF">2026-03-04T03:55:31Z</dcterms:modified>
</cp:coreProperties>
</file>